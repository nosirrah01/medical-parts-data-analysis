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y\source\repos\nosirrah01\medical-parts-data-analysis\excel\"/>
    </mc:Choice>
  </mc:AlternateContent>
  <xr:revisionPtr revIDLastSave="0" documentId="13_ncr:9_{08FC09E6-0957-424E-B6E0-9B8939305ED7}" xr6:coauthVersionLast="47" xr6:coauthVersionMax="47" xr10:uidLastSave="{00000000-0000-0000-0000-000000000000}"/>
  <bookViews>
    <workbookView xWindow="-90" yWindow="0" windowWidth="19380" windowHeight="21690" xr2:uid="{3D9AE382-BE39-4EE9-A057-74AE2767EA6F}"/>
  </bookViews>
  <sheets>
    <sheet name="Sheet1" sheetId="2" r:id="rId1"/>
    <sheet name="Sheet2" sheetId="3" r:id="rId2"/>
    <sheet name="orders_raw" sheetId="1" r:id="rId3"/>
  </sheets>
  <calcPr calcId="0"/>
  <pivotCaches>
    <pivotCache cacheId="5" r:id="rId4"/>
  </pivotCaches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</calcChain>
</file>

<file path=xl/sharedStrings.xml><?xml version="1.0" encoding="utf-8"?>
<sst xmlns="http://schemas.openxmlformats.org/spreadsheetml/2006/main" count="1384" uniqueCount="95">
  <si>
    <t>OrderID</t>
  </si>
  <si>
    <t>OrderDate</t>
  </si>
  <si>
    <t>CustomerID</t>
  </si>
  <si>
    <t>CustomerName</t>
  </si>
  <si>
    <t>Region</t>
  </si>
  <si>
    <t>ProductID</t>
  </si>
  <si>
    <t>PartName</t>
  </si>
  <si>
    <t>PartCategory</t>
  </si>
  <si>
    <t>Manufacturer</t>
  </si>
  <si>
    <t>Quantity</t>
  </si>
  <si>
    <t>UnitPrice</t>
  </si>
  <si>
    <t>ExpectedShippingDays</t>
  </si>
  <si>
    <t>ShippingDays</t>
  </si>
  <si>
    <t>RushOrder</t>
  </si>
  <si>
    <t>Returned</t>
  </si>
  <si>
    <t>C007</t>
  </si>
  <si>
    <t>Great Lakes Medical Center</t>
  </si>
  <si>
    <t>Midwest</t>
  </si>
  <si>
    <t>P004</t>
  </si>
  <si>
    <t>Infusion Pump Motor</t>
  </si>
  <si>
    <t>Surgical</t>
  </si>
  <si>
    <t>Precision Medical</t>
  </si>
  <si>
    <t>No</t>
  </si>
  <si>
    <t>C011</t>
  </si>
  <si>
    <t>Heartland Regional Medical</t>
  </si>
  <si>
    <t>P011</t>
  </si>
  <si>
    <t>Bed Control Module</t>
  </si>
  <si>
    <t>Patient Support</t>
  </si>
  <si>
    <t>CareMotion</t>
  </si>
  <si>
    <t>C002</t>
  </si>
  <si>
    <t>Central Ohio Hospital</t>
  </si>
  <si>
    <t>P014</t>
  </si>
  <si>
    <t>Ventilator Flow Valve</t>
  </si>
  <si>
    <t>Respiratory</t>
  </si>
  <si>
    <t>AirMed</t>
  </si>
  <si>
    <t>Yes</t>
  </si>
  <si>
    <t>C010</t>
  </si>
  <si>
    <t>Allegheny Health Clinic</t>
  </si>
  <si>
    <t>Northeast</t>
  </si>
  <si>
    <t>C003</t>
  </si>
  <si>
    <t>Riverside Health</t>
  </si>
  <si>
    <t>South</t>
  </si>
  <si>
    <t>C006</t>
  </si>
  <si>
    <t>Metro Health Network</t>
  </si>
  <si>
    <t>P006</t>
  </si>
  <si>
    <t>ECG Lead Cable</t>
  </si>
  <si>
    <t>Monitoring</t>
  </si>
  <si>
    <t>VitalWorks</t>
  </si>
  <si>
    <t>P003</t>
  </si>
  <si>
    <t>Ventilator Filter</t>
  </si>
  <si>
    <t>P008</t>
  </si>
  <si>
    <t>Oxygen Sensor</t>
  </si>
  <si>
    <t>P012</t>
  </si>
  <si>
    <t>Suction Pump Assembly</t>
  </si>
  <si>
    <t>C004</t>
  </si>
  <si>
    <t>Northeast Surgical Center</t>
  </si>
  <si>
    <t>P013</t>
  </si>
  <si>
    <t>Pulse Oximeter Sensor</t>
  </si>
  <si>
    <t>C001</t>
  </si>
  <si>
    <t>Lakeview Medical Center</t>
  </si>
  <si>
    <t>P010</t>
  </si>
  <si>
    <t>Defibrillator Battery</t>
  </si>
  <si>
    <t>Emergency</t>
  </si>
  <si>
    <t>RescueMed</t>
  </si>
  <si>
    <t>P007</t>
  </si>
  <si>
    <t>Surgical Light Bulb</t>
  </si>
  <si>
    <t>C008</t>
  </si>
  <si>
    <t>Piedmont Community Hospital</t>
  </si>
  <si>
    <t>P002</t>
  </si>
  <si>
    <t>Patient Monitor Battery</t>
  </si>
  <si>
    <t>C005</t>
  </si>
  <si>
    <t>Western Regional Hospital</t>
  </si>
  <si>
    <t>West</t>
  </si>
  <si>
    <t>C012</t>
  </si>
  <si>
    <t>Sunrise Medical Pavilion</t>
  </si>
  <si>
    <t>P015</t>
  </si>
  <si>
    <t>MRI Table Motor</t>
  </si>
  <si>
    <t>Imaging</t>
  </si>
  <si>
    <t>ScanPro Healthcare</t>
  </si>
  <si>
    <t>P001</t>
  </si>
  <si>
    <t>X-Ray Detector</t>
  </si>
  <si>
    <t>MedTech Systems</t>
  </si>
  <si>
    <t>C009</t>
  </si>
  <si>
    <t>Pacific Care Center</t>
  </si>
  <si>
    <t>P009</t>
  </si>
  <si>
    <t>CT Cooling Fan</t>
  </si>
  <si>
    <t>P005</t>
  </si>
  <si>
    <t>Ultrasound Transducer</t>
  </si>
  <si>
    <t>Revenue</t>
  </si>
  <si>
    <t>ShippingStatus</t>
  </si>
  <si>
    <t>Row Labels</t>
  </si>
  <si>
    <t>Grand Total</t>
  </si>
  <si>
    <t>Sum of Revenue</t>
  </si>
  <si>
    <t>Count of OrderID</t>
  </si>
  <si>
    <t>Average of ShippingDays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</si>
</sst>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[medical-parts-analysis.xlsx]Sheet1!PivotTable1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Part Category</a:t>
            </a:r>
            <a:endParaRPr lang="en-US"/>
          </a:p>
        </c:rich>
      </c:tx>
      <c:layout>
        <c:manualLayout>
          <c:xMode val="edge"/>
          <c:yMode val="edge"/>
          <c:x val="0.36924860608640137"/>
          <c:y val="4.169503281910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Imaging</c:v>
                </c:pt>
                <c:pt idx="1">
                  <c:v>Surgical</c:v>
                </c:pt>
                <c:pt idx="2">
                  <c:v>Monitoring</c:v>
                </c:pt>
                <c:pt idx="3">
                  <c:v>Respiratory</c:v>
                </c:pt>
                <c:pt idx="4">
                  <c:v>Emergency</c:v>
                </c:pt>
                <c:pt idx="5">
                  <c:v>Patient Support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75825</c:v>
                </c:pt>
                <c:pt idx="1">
                  <c:v>44295</c:v>
                </c:pt>
                <c:pt idx="2">
                  <c:v>32885</c:v>
                </c:pt>
                <c:pt idx="3">
                  <c:v>32380</c:v>
                </c:pt>
                <c:pt idx="4">
                  <c:v>12985</c:v>
                </c:pt>
                <c:pt idx="5">
                  <c:v>10920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9-4E96-B536-790F69CD5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611808"/>
        <c:axId val="521329840"/>
      </c:barChart>
      <c:catAx>
        <c:axId val="2116118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29840"/>
        <c:crosses val="autoZero"/>
        <c:auto val="1"/>
        <c:lblAlgn val="ctr"/>
        <c:lblOffset val="100"/>
        <c:noMultiLvlLbl val="0"/>
      </c:catAx>
      <c:valAx>
        <c:axId val="52132984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1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1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958850</xdr:colOff>
      <xdr:row>19</xdr:row>
      <xdr:rowOff>171450</xdr:rowOff>
    </xdr:from>
    <xdr:to>
      <xdr:col>11</xdr:col>
      <xdr:colOff>342900</xdr:colOff>
      <xdr:row>41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A58EA9-6CD0-FBE0-39C2-0389CD700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emy" refreshedDate="46261.76613113426" createdVersion="8" refreshedVersion="8" minRefreshableVersion="3" recordCount="150" xr:uid="{F26C595F-4BEF-4916-A471-BBA325501DF7}">
  <cacheSource type="worksheet">
    <worksheetSource name="Table1"/>
  </cacheSource>
  <cacheFields count="17">
    <cacheField name="OrderID" numFmtId="0">
      <sharedItems containsSemiMixedTypes="0" containsString="0" containsNumber="1" containsInteger="1" minValue="1001" maxValue="1150"/>
    </cacheField>
    <cacheField name="OrderDate" numFmtId="14">
      <sharedItems containsSemiMixedTypes="0" containsNonDate="0" containsDate="1" containsString="0" minDate="2026-01-02T00:00:00" maxDate="2026-07-01T00:00:00"/>
    </cacheField>
    <cacheField name="CustomerID" numFmtId="0">
      <sharedItems/>
    </cacheField>
    <cacheField name="CustomerName" numFmtId="0">
      <sharedItems/>
    </cacheField>
    <cacheField name="Region" numFmtId="0">
      <sharedItems count="4">
        <s v="Midwest"/>
        <s v="Northeast"/>
        <s v="South"/>
        <s v="West"/>
      </sharedItems>
    </cacheField>
    <cacheField name="ProductID" numFmtId="0">
      <sharedItems/>
    </cacheField>
    <cacheField name="PartName" numFmtId="0">
      <sharedItems/>
    </cacheField>
    <cacheField name="PartCategory" numFmtId="0">
      <sharedItems count="6">
        <s v="Surgical"/>
        <s v="Patient Support"/>
        <s v="Respiratory"/>
        <s v="Monitoring"/>
        <s v="Emergency"/>
        <s v="Imaging"/>
      </sharedItems>
    </cacheField>
    <cacheField name="Manufacturer" numFmtId="0">
      <sharedItems/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42.5" maxValue="1450"/>
    </cacheField>
    <cacheField name="ExpectedShippingDays" numFmtId="0">
      <sharedItems containsSemiMixedTypes="0" containsString="0" containsNumber="1" containsInteger="1" minValue="2" maxValue="6"/>
    </cacheField>
    <cacheField name="ShippingDays" numFmtId="0">
      <sharedItems containsSemiMixedTypes="0" containsString="0" containsNumber="1" containsInteger="1" minValue="1" maxValue="8"/>
    </cacheField>
    <cacheField name="RushOrder" numFmtId="0">
      <sharedItems/>
    </cacheField>
    <cacheField name="Returned" numFmtId="0">
      <sharedItems/>
    </cacheField>
    <cacheField name="Revenue" numFmtId="0">
      <sharedItems containsSemiMixedTypes="0" containsString="0" containsNumber="1" minValue="124" maxValue="4350"/>
    </cacheField>
    <cacheField name="Shipping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026"/>
    <d v="2026-01-02T00:00:00"/>
    <s v="C007"/>
    <s v="Great Lakes Medical Center"/>
    <x v="0"/>
    <s v="P004"/>
    <s v="Infusion Pump Motor"/>
    <x v="0"/>
    <s v="Precision Medical"/>
    <n v="8"/>
    <n v="310"/>
    <n v="4"/>
    <n v="5"/>
    <s v="No"/>
    <s v="No"/>
    <n v="2480"/>
    <s v="Late"/>
  </r>
  <r>
    <n v="1013"/>
    <d v="2026-01-04T00:00:00"/>
    <s v="C011"/>
    <s v="Heartland Regional Medical"/>
    <x v="0"/>
    <s v="P011"/>
    <s v="Bed Control Module"/>
    <x v="1"/>
    <s v="CareMotion"/>
    <n v="5"/>
    <n v="390"/>
    <n v="3"/>
    <n v="3"/>
    <s v="No"/>
    <s v="No"/>
    <n v="1950"/>
    <s v="On Time"/>
  </r>
  <r>
    <n v="1025"/>
    <d v="2026-01-05T00:00:00"/>
    <s v="C002"/>
    <s v="Central Ohio Hospital"/>
    <x v="0"/>
    <s v="P014"/>
    <s v="Ventilator Flow Valve"/>
    <x v="2"/>
    <s v="AirMed"/>
    <n v="4"/>
    <n v="285"/>
    <n v="3"/>
    <n v="3"/>
    <s v="Yes"/>
    <s v="No"/>
    <n v="1140"/>
    <s v="On Time"/>
  </r>
  <r>
    <n v="1078"/>
    <d v="2026-01-05T00:00:00"/>
    <s v="C010"/>
    <s v="Allegheny Health Clinic"/>
    <x v="1"/>
    <s v="P004"/>
    <s v="Infusion Pump Motor"/>
    <x v="0"/>
    <s v="Precision Medical"/>
    <n v="8"/>
    <n v="310"/>
    <n v="4"/>
    <n v="4"/>
    <s v="No"/>
    <s v="No"/>
    <n v="2480"/>
    <s v="On Time"/>
  </r>
  <r>
    <n v="1125"/>
    <d v="2026-01-06T00:00:00"/>
    <s v="C003"/>
    <s v="Riverside Health"/>
    <x v="2"/>
    <s v="P004"/>
    <s v="Infusion Pump Motor"/>
    <x v="0"/>
    <s v="Precision Medical"/>
    <n v="3"/>
    <n v="310"/>
    <n v="4"/>
    <n v="7"/>
    <s v="No"/>
    <s v="No"/>
    <n v="930"/>
    <s v="Late"/>
  </r>
  <r>
    <n v="1009"/>
    <d v="2026-01-10T00:00:00"/>
    <s v="C006"/>
    <s v="Metro Health Network"/>
    <x v="1"/>
    <s v="P006"/>
    <s v="ECG Lead Cable"/>
    <x v="3"/>
    <s v="VitalWorks"/>
    <n v="4"/>
    <n v="78"/>
    <n v="2"/>
    <n v="3"/>
    <s v="No"/>
    <s v="No"/>
    <n v="312"/>
    <s v="Late"/>
  </r>
  <r>
    <n v="1038"/>
    <d v="2026-01-12T00:00:00"/>
    <s v="C006"/>
    <s v="Metro Health Network"/>
    <x v="1"/>
    <s v="P003"/>
    <s v="Ventilator Filter"/>
    <x v="2"/>
    <s v="AirMed"/>
    <n v="9"/>
    <n v="42.5"/>
    <n v="2"/>
    <n v="2"/>
    <s v="No"/>
    <s v="No"/>
    <n v="382.5"/>
    <s v="On Time"/>
  </r>
  <r>
    <n v="1067"/>
    <d v="2026-01-12T00:00:00"/>
    <s v="C006"/>
    <s v="Metro Health Network"/>
    <x v="1"/>
    <s v="P008"/>
    <s v="Oxygen Sensor"/>
    <x v="2"/>
    <s v="AirMed"/>
    <n v="6"/>
    <n v="160"/>
    <n v="2"/>
    <n v="3"/>
    <s v="Yes"/>
    <s v="No"/>
    <n v="960"/>
    <s v="Late"/>
  </r>
  <r>
    <n v="1099"/>
    <d v="2026-01-13T00:00:00"/>
    <s v="C006"/>
    <s v="Metro Health Network"/>
    <x v="1"/>
    <s v="P012"/>
    <s v="Suction Pump Assembly"/>
    <x v="0"/>
    <s v="Precision Medical"/>
    <n v="4"/>
    <n v="540"/>
    <n v="4"/>
    <n v="5"/>
    <s v="No"/>
    <s v="No"/>
    <n v="2160"/>
    <s v="Late"/>
  </r>
  <r>
    <n v="1057"/>
    <d v="2026-01-17T00:00:00"/>
    <s v="C004"/>
    <s v="Northeast Surgical Center"/>
    <x v="1"/>
    <s v="P013"/>
    <s v="Pulse Oximeter Sensor"/>
    <x v="3"/>
    <s v="VitalWorks"/>
    <n v="14"/>
    <n v="62"/>
    <n v="2"/>
    <n v="4"/>
    <s v="No"/>
    <s v="No"/>
    <n v="868"/>
    <s v="Late"/>
  </r>
  <r>
    <n v="1006"/>
    <d v="2026-01-19T00:00:00"/>
    <s v="C001"/>
    <s v="Lakeview Medical Center"/>
    <x v="0"/>
    <s v="P010"/>
    <s v="Defibrillator Battery"/>
    <x v="4"/>
    <s v="RescueMed"/>
    <n v="5"/>
    <n v="265"/>
    <n v="2"/>
    <n v="2"/>
    <s v="No"/>
    <s v="No"/>
    <n v="1325"/>
    <s v="On Time"/>
  </r>
  <r>
    <n v="1031"/>
    <d v="2026-01-20T00:00:00"/>
    <s v="C001"/>
    <s v="Lakeview Medical Center"/>
    <x v="0"/>
    <s v="P007"/>
    <s v="Surgical Light Bulb"/>
    <x v="0"/>
    <s v="Precision Medical"/>
    <n v="20"/>
    <n v="95"/>
    <n v="3"/>
    <n v="2"/>
    <s v="No"/>
    <s v="No"/>
    <n v="1900"/>
    <s v="On Time"/>
  </r>
  <r>
    <n v="1101"/>
    <d v="2026-01-21T00:00:00"/>
    <s v="C008"/>
    <s v="Piedmont Community Hospital"/>
    <x v="2"/>
    <s v="P012"/>
    <s v="Suction Pump Assembly"/>
    <x v="0"/>
    <s v="Precision Medical"/>
    <n v="3"/>
    <n v="540"/>
    <n v="4"/>
    <n v="4"/>
    <s v="No"/>
    <s v="No"/>
    <n v="1620"/>
    <s v="On Time"/>
  </r>
  <r>
    <n v="1080"/>
    <d v="2026-01-23T00:00:00"/>
    <s v="C004"/>
    <s v="Northeast Surgical Center"/>
    <x v="1"/>
    <s v="P002"/>
    <s v="Patient Monitor Battery"/>
    <x v="3"/>
    <s v="VitalWorks"/>
    <n v="15"/>
    <n v="125"/>
    <n v="2"/>
    <n v="4"/>
    <s v="No"/>
    <s v="No"/>
    <n v="1875"/>
    <s v="Late"/>
  </r>
  <r>
    <n v="1002"/>
    <d v="2026-01-24T00:00:00"/>
    <s v="C010"/>
    <s v="Allegheny Health Clinic"/>
    <x v="1"/>
    <s v="P006"/>
    <s v="ECG Lead Cable"/>
    <x v="3"/>
    <s v="VitalWorks"/>
    <n v="2"/>
    <n v="78"/>
    <n v="2"/>
    <n v="3"/>
    <s v="Yes"/>
    <s v="No"/>
    <n v="156"/>
    <s v="Late"/>
  </r>
  <r>
    <n v="1070"/>
    <d v="2026-01-24T00:00:00"/>
    <s v="C005"/>
    <s v="Western Regional Hospital"/>
    <x v="3"/>
    <s v="P013"/>
    <s v="Pulse Oximeter Sensor"/>
    <x v="3"/>
    <s v="VitalWorks"/>
    <n v="9"/>
    <n v="62"/>
    <n v="2"/>
    <n v="3"/>
    <s v="No"/>
    <s v="Yes"/>
    <n v="558"/>
    <s v="Late"/>
  </r>
  <r>
    <n v="1138"/>
    <d v="2026-01-25T00:00:00"/>
    <s v="C012"/>
    <s v="Sunrise Medical Pavilion"/>
    <x v="2"/>
    <s v="P008"/>
    <s v="Oxygen Sensor"/>
    <x v="2"/>
    <s v="AirMed"/>
    <n v="7"/>
    <n v="160"/>
    <n v="2"/>
    <n v="2"/>
    <s v="No"/>
    <s v="No"/>
    <n v="1120"/>
    <s v="On Time"/>
  </r>
  <r>
    <n v="1104"/>
    <d v="2026-01-27T00:00:00"/>
    <s v="C008"/>
    <s v="Piedmont Community Hospital"/>
    <x v="2"/>
    <s v="P003"/>
    <s v="Ventilator Filter"/>
    <x v="2"/>
    <s v="AirMed"/>
    <n v="11"/>
    <n v="42.5"/>
    <n v="2"/>
    <n v="2"/>
    <s v="No"/>
    <s v="No"/>
    <n v="467.5"/>
    <s v="On Time"/>
  </r>
  <r>
    <n v="1034"/>
    <d v="2026-01-29T00:00:00"/>
    <s v="C012"/>
    <s v="Sunrise Medical Pavilion"/>
    <x v="2"/>
    <s v="P008"/>
    <s v="Oxygen Sensor"/>
    <x v="2"/>
    <s v="AirMed"/>
    <n v="5"/>
    <n v="160"/>
    <n v="2"/>
    <n v="2"/>
    <s v="No"/>
    <s v="No"/>
    <n v="800"/>
    <s v="On Time"/>
  </r>
  <r>
    <n v="1052"/>
    <d v="2026-01-29T00:00:00"/>
    <s v="C007"/>
    <s v="Great Lakes Medical Center"/>
    <x v="0"/>
    <s v="P003"/>
    <s v="Ventilator Filter"/>
    <x v="2"/>
    <s v="AirMed"/>
    <n v="18"/>
    <n v="42.5"/>
    <n v="2"/>
    <n v="3"/>
    <s v="No"/>
    <s v="No"/>
    <n v="765"/>
    <s v="Late"/>
  </r>
  <r>
    <n v="1065"/>
    <d v="2026-01-31T00:00:00"/>
    <s v="C003"/>
    <s v="Riverside Health"/>
    <x v="2"/>
    <s v="P015"/>
    <s v="MRI Table Motor"/>
    <x v="5"/>
    <s v="ScanPro Healthcare"/>
    <n v="1"/>
    <n v="1450"/>
    <n v="6"/>
    <n v="6"/>
    <s v="No"/>
    <s v="No"/>
    <n v="1450"/>
    <s v="On Time"/>
  </r>
  <r>
    <n v="1079"/>
    <d v="2026-01-31T00:00:00"/>
    <s v="C002"/>
    <s v="Central Ohio Hospital"/>
    <x v="0"/>
    <s v="P006"/>
    <s v="ECG Lead Cable"/>
    <x v="3"/>
    <s v="VitalWorks"/>
    <n v="4"/>
    <n v="78"/>
    <n v="2"/>
    <n v="2"/>
    <s v="No"/>
    <s v="No"/>
    <n v="312"/>
    <s v="On Time"/>
  </r>
  <r>
    <n v="1091"/>
    <d v="2026-01-31T00:00:00"/>
    <s v="C007"/>
    <s v="Great Lakes Medical Center"/>
    <x v="0"/>
    <s v="P013"/>
    <s v="Pulse Oximeter Sensor"/>
    <x v="3"/>
    <s v="VitalWorks"/>
    <n v="2"/>
    <n v="62"/>
    <n v="2"/>
    <n v="4"/>
    <s v="No"/>
    <s v="No"/>
    <n v="124"/>
    <s v="Late"/>
  </r>
  <r>
    <n v="1064"/>
    <d v="2026-02-03T00:00:00"/>
    <s v="C008"/>
    <s v="Piedmont Community Hospital"/>
    <x v="2"/>
    <s v="P010"/>
    <s v="Defibrillator Battery"/>
    <x v="4"/>
    <s v="RescueMed"/>
    <n v="4"/>
    <n v="265"/>
    <n v="2"/>
    <n v="2"/>
    <s v="No"/>
    <s v="No"/>
    <n v="1060"/>
    <s v="On Time"/>
  </r>
  <r>
    <n v="1112"/>
    <d v="2026-02-04T00:00:00"/>
    <s v="C002"/>
    <s v="Central Ohio Hospital"/>
    <x v="0"/>
    <s v="P014"/>
    <s v="Ventilator Flow Valve"/>
    <x v="2"/>
    <s v="AirMed"/>
    <n v="6"/>
    <n v="285"/>
    <n v="3"/>
    <n v="3"/>
    <s v="No"/>
    <s v="No"/>
    <n v="1710"/>
    <s v="On Time"/>
  </r>
  <r>
    <n v="1096"/>
    <d v="2026-02-05T00:00:00"/>
    <s v="C002"/>
    <s v="Central Ohio Hospital"/>
    <x v="0"/>
    <s v="P004"/>
    <s v="Infusion Pump Motor"/>
    <x v="0"/>
    <s v="Precision Medical"/>
    <n v="7"/>
    <n v="310"/>
    <n v="4"/>
    <n v="6"/>
    <s v="No"/>
    <s v="No"/>
    <n v="2170"/>
    <s v="Late"/>
  </r>
  <r>
    <n v="1118"/>
    <d v="2026-02-06T00:00:00"/>
    <s v="C001"/>
    <s v="Lakeview Medical Center"/>
    <x v="0"/>
    <s v="P014"/>
    <s v="Ventilator Flow Valve"/>
    <x v="2"/>
    <s v="AirMed"/>
    <n v="5"/>
    <n v="285"/>
    <n v="3"/>
    <n v="3"/>
    <s v="No"/>
    <s v="No"/>
    <n v="1425"/>
    <s v="On Time"/>
  </r>
  <r>
    <n v="1142"/>
    <d v="2026-02-06T00:00:00"/>
    <s v="C005"/>
    <s v="Western Regional Hospital"/>
    <x v="3"/>
    <s v="P004"/>
    <s v="Infusion Pump Motor"/>
    <x v="0"/>
    <s v="Precision Medical"/>
    <n v="2"/>
    <n v="310"/>
    <n v="4"/>
    <n v="4"/>
    <s v="Yes"/>
    <s v="No"/>
    <n v="620"/>
    <s v="On Time"/>
  </r>
  <r>
    <n v="1085"/>
    <d v="2026-02-07T00:00:00"/>
    <s v="C002"/>
    <s v="Central Ohio Hospital"/>
    <x v="0"/>
    <s v="P001"/>
    <s v="X-Ray Detector"/>
    <x v="5"/>
    <s v="MedTech Systems"/>
    <n v="3"/>
    <n v="850"/>
    <n v="3"/>
    <n v="4"/>
    <s v="No"/>
    <s v="No"/>
    <n v="2550"/>
    <s v="Late"/>
  </r>
  <r>
    <n v="1124"/>
    <d v="2026-02-08T00:00:00"/>
    <s v="C003"/>
    <s v="Riverside Health"/>
    <x v="2"/>
    <s v="P008"/>
    <s v="Oxygen Sensor"/>
    <x v="2"/>
    <s v="AirMed"/>
    <n v="3"/>
    <n v="160"/>
    <n v="2"/>
    <n v="1"/>
    <s v="Yes"/>
    <s v="No"/>
    <n v="480"/>
    <s v="On Time"/>
  </r>
  <r>
    <n v="1037"/>
    <d v="2026-02-09T00:00:00"/>
    <s v="C009"/>
    <s v="Pacific Care Center"/>
    <x v="3"/>
    <s v="P001"/>
    <s v="X-Ray Detector"/>
    <x v="5"/>
    <s v="MedTech Systems"/>
    <n v="3"/>
    <n v="850"/>
    <n v="3"/>
    <n v="4"/>
    <s v="No"/>
    <s v="No"/>
    <n v="2550"/>
    <s v="Late"/>
  </r>
  <r>
    <n v="1056"/>
    <d v="2026-02-09T00:00:00"/>
    <s v="C004"/>
    <s v="Northeast Surgical Center"/>
    <x v="1"/>
    <s v="P006"/>
    <s v="ECG Lead Cable"/>
    <x v="3"/>
    <s v="VitalWorks"/>
    <n v="6"/>
    <n v="78"/>
    <n v="2"/>
    <n v="1"/>
    <s v="No"/>
    <s v="No"/>
    <n v="468"/>
    <s v="On Time"/>
  </r>
  <r>
    <n v="1012"/>
    <d v="2026-02-11T00:00:00"/>
    <s v="C011"/>
    <s v="Heartland Regional Medical"/>
    <x v="0"/>
    <s v="P006"/>
    <s v="ECG Lead Cable"/>
    <x v="3"/>
    <s v="VitalWorks"/>
    <n v="4"/>
    <n v="78"/>
    <n v="2"/>
    <n v="3"/>
    <s v="No"/>
    <s v="No"/>
    <n v="312"/>
    <s v="Late"/>
  </r>
  <r>
    <n v="1008"/>
    <d v="2026-02-12T00:00:00"/>
    <s v="C008"/>
    <s v="Piedmont Community Hospital"/>
    <x v="2"/>
    <s v="P006"/>
    <s v="ECG Lead Cable"/>
    <x v="3"/>
    <s v="VitalWorks"/>
    <n v="19"/>
    <n v="78"/>
    <n v="2"/>
    <n v="2"/>
    <s v="No"/>
    <s v="No"/>
    <n v="1482"/>
    <s v="On Time"/>
  </r>
  <r>
    <n v="1049"/>
    <d v="2026-02-14T00:00:00"/>
    <s v="C011"/>
    <s v="Heartland Regional Medical"/>
    <x v="0"/>
    <s v="P002"/>
    <s v="Patient Monitor Battery"/>
    <x v="3"/>
    <s v="VitalWorks"/>
    <n v="18"/>
    <n v="125"/>
    <n v="2"/>
    <n v="4"/>
    <s v="No"/>
    <s v="No"/>
    <n v="2250"/>
    <s v="Late"/>
  </r>
  <r>
    <n v="1066"/>
    <d v="2026-02-21T00:00:00"/>
    <s v="C002"/>
    <s v="Central Ohio Hospital"/>
    <x v="0"/>
    <s v="P009"/>
    <s v="CT Cooling Fan"/>
    <x v="5"/>
    <s v="ScanPro Healthcare"/>
    <n v="2"/>
    <n v="475"/>
    <n v="4"/>
    <n v="4"/>
    <s v="Yes"/>
    <s v="No"/>
    <n v="950"/>
    <s v="On Time"/>
  </r>
  <r>
    <n v="1041"/>
    <d v="2026-02-22T00:00:00"/>
    <s v="C008"/>
    <s v="Piedmont Community Hospital"/>
    <x v="2"/>
    <s v="P005"/>
    <s v="Ultrasound Transducer"/>
    <x v="5"/>
    <s v="MedTech Systems"/>
    <n v="1"/>
    <n v="1200"/>
    <n v="5"/>
    <n v="5"/>
    <s v="No"/>
    <s v="No"/>
    <n v="1200"/>
    <s v="On Time"/>
  </r>
  <r>
    <n v="1048"/>
    <d v="2026-02-24T00:00:00"/>
    <s v="C007"/>
    <s v="Great Lakes Medical Center"/>
    <x v="0"/>
    <s v="P012"/>
    <s v="Suction Pump Assembly"/>
    <x v="0"/>
    <s v="Precision Medical"/>
    <n v="5"/>
    <n v="540"/>
    <n v="4"/>
    <n v="4"/>
    <s v="No"/>
    <s v="No"/>
    <n v="2700"/>
    <s v="On Time"/>
  </r>
  <r>
    <n v="1082"/>
    <d v="2026-02-24T00:00:00"/>
    <s v="C011"/>
    <s v="Heartland Regional Medical"/>
    <x v="0"/>
    <s v="P003"/>
    <s v="Ventilator Filter"/>
    <x v="2"/>
    <s v="AirMed"/>
    <n v="4"/>
    <n v="42.5"/>
    <n v="2"/>
    <n v="3"/>
    <s v="Yes"/>
    <s v="No"/>
    <n v="170"/>
    <s v="Late"/>
  </r>
  <r>
    <n v="1018"/>
    <d v="2026-02-25T00:00:00"/>
    <s v="C009"/>
    <s v="Pacific Care Center"/>
    <x v="3"/>
    <s v="P012"/>
    <s v="Suction Pump Assembly"/>
    <x v="0"/>
    <s v="Precision Medical"/>
    <n v="2"/>
    <n v="540"/>
    <n v="4"/>
    <n v="4"/>
    <s v="No"/>
    <s v="No"/>
    <n v="1080"/>
    <s v="On Time"/>
  </r>
  <r>
    <n v="1027"/>
    <d v="2026-02-26T00:00:00"/>
    <s v="C001"/>
    <s v="Lakeview Medical Center"/>
    <x v="0"/>
    <s v="P008"/>
    <s v="Oxygen Sensor"/>
    <x v="2"/>
    <s v="AirMed"/>
    <n v="1"/>
    <n v="160"/>
    <n v="2"/>
    <n v="2"/>
    <s v="No"/>
    <s v="No"/>
    <n v="160"/>
    <s v="On Time"/>
  </r>
  <r>
    <n v="1094"/>
    <d v="2026-02-28T00:00:00"/>
    <s v="C002"/>
    <s v="Central Ohio Hospital"/>
    <x v="0"/>
    <s v="P007"/>
    <s v="Surgical Light Bulb"/>
    <x v="0"/>
    <s v="Precision Medical"/>
    <n v="5"/>
    <n v="95"/>
    <n v="3"/>
    <n v="3"/>
    <s v="No"/>
    <s v="No"/>
    <n v="475"/>
    <s v="On Time"/>
  </r>
  <r>
    <n v="1075"/>
    <d v="2026-03-07T00:00:00"/>
    <s v="C004"/>
    <s v="Northeast Surgical Center"/>
    <x v="1"/>
    <s v="P002"/>
    <s v="Patient Monitor Battery"/>
    <x v="3"/>
    <s v="VitalWorks"/>
    <n v="8"/>
    <n v="125"/>
    <n v="2"/>
    <n v="3"/>
    <s v="No"/>
    <s v="No"/>
    <n v="1000"/>
    <s v="Late"/>
  </r>
  <r>
    <n v="1030"/>
    <d v="2026-03-09T00:00:00"/>
    <s v="C004"/>
    <s v="Northeast Surgical Center"/>
    <x v="1"/>
    <s v="P010"/>
    <s v="Defibrillator Battery"/>
    <x v="4"/>
    <s v="RescueMed"/>
    <n v="6"/>
    <n v="265"/>
    <n v="2"/>
    <n v="2"/>
    <s v="No"/>
    <s v="No"/>
    <n v="1590"/>
    <s v="On Time"/>
  </r>
  <r>
    <n v="1043"/>
    <d v="2026-03-09T00:00:00"/>
    <s v="C003"/>
    <s v="Riverside Health"/>
    <x v="2"/>
    <s v="P008"/>
    <s v="Oxygen Sensor"/>
    <x v="2"/>
    <s v="AirMed"/>
    <n v="5"/>
    <n v="160"/>
    <n v="2"/>
    <n v="3"/>
    <s v="Yes"/>
    <s v="No"/>
    <n v="800"/>
    <s v="Late"/>
  </r>
  <r>
    <n v="1014"/>
    <d v="2026-03-10T00:00:00"/>
    <s v="C009"/>
    <s v="Pacific Care Center"/>
    <x v="3"/>
    <s v="P012"/>
    <s v="Suction Pump Assembly"/>
    <x v="0"/>
    <s v="Precision Medical"/>
    <n v="5"/>
    <n v="540"/>
    <n v="4"/>
    <n v="4"/>
    <s v="No"/>
    <s v="No"/>
    <n v="2700"/>
    <s v="On Time"/>
  </r>
  <r>
    <n v="1035"/>
    <d v="2026-03-10T00:00:00"/>
    <s v="C009"/>
    <s v="Pacific Care Center"/>
    <x v="3"/>
    <s v="P007"/>
    <s v="Surgical Light Bulb"/>
    <x v="0"/>
    <s v="Precision Medical"/>
    <n v="3"/>
    <n v="95"/>
    <n v="3"/>
    <n v="4"/>
    <s v="Yes"/>
    <s v="No"/>
    <n v="285"/>
    <s v="Late"/>
  </r>
  <r>
    <n v="1036"/>
    <d v="2026-03-10T00:00:00"/>
    <s v="C003"/>
    <s v="Riverside Health"/>
    <x v="2"/>
    <s v="P012"/>
    <s v="Suction Pump Assembly"/>
    <x v="0"/>
    <s v="Precision Medical"/>
    <n v="5"/>
    <n v="540"/>
    <n v="4"/>
    <n v="7"/>
    <s v="No"/>
    <s v="No"/>
    <n v="2700"/>
    <s v="Late"/>
  </r>
  <r>
    <n v="1088"/>
    <d v="2026-03-11T00:00:00"/>
    <s v="C010"/>
    <s v="Allegheny Health Clinic"/>
    <x v="1"/>
    <s v="P001"/>
    <s v="X-Ray Detector"/>
    <x v="5"/>
    <s v="MedTech Systems"/>
    <n v="2"/>
    <n v="850"/>
    <n v="3"/>
    <n v="3"/>
    <s v="No"/>
    <s v="No"/>
    <n v="1700"/>
    <s v="On Time"/>
  </r>
  <r>
    <n v="1095"/>
    <d v="2026-03-12T00:00:00"/>
    <s v="C007"/>
    <s v="Great Lakes Medical Center"/>
    <x v="0"/>
    <s v="P013"/>
    <s v="Pulse Oximeter Sensor"/>
    <x v="3"/>
    <s v="VitalWorks"/>
    <n v="17"/>
    <n v="62"/>
    <n v="2"/>
    <n v="4"/>
    <s v="No"/>
    <s v="No"/>
    <n v="1054"/>
    <s v="Late"/>
  </r>
  <r>
    <n v="1004"/>
    <d v="2026-03-14T00:00:00"/>
    <s v="C003"/>
    <s v="Riverside Health"/>
    <x v="2"/>
    <s v="P003"/>
    <s v="Ventilator Filter"/>
    <x v="2"/>
    <s v="AirMed"/>
    <n v="12"/>
    <n v="42.5"/>
    <n v="2"/>
    <n v="3"/>
    <s v="Yes"/>
    <s v="No"/>
    <n v="510"/>
    <s v="Late"/>
  </r>
  <r>
    <n v="1042"/>
    <d v="2026-03-14T00:00:00"/>
    <s v="C006"/>
    <s v="Metro Health Network"/>
    <x v="1"/>
    <s v="P010"/>
    <s v="Defibrillator Battery"/>
    <x v="4"/>
    <s v="RescueMed"/>
    <n v="7"/>
    <n v="265"/>
    <n v="2"/>
    <n v="4"/>
    <s v="No"/>
    <s v="No"/>
    <n v="1855"/>
    <s v="Late"/>
  </r>
  <r>
    <n v="1114"/>
    <d v="2026-03-18T00:00:00"/>
    <s v="C012"/>
    <s v="Sunrise Medical Pavilion"/>
    <x v="2"/>
    <s v="P013"/>
    <s v="Pulse Oximeter Sensor"/>
    <x v="3"/>
    <s v="VitalWorks"/>
    <n v="5"/>
    <n v="62"/>
    <n v="2"/>
    <n v="2"/>
    <s v="No"/>
    <s v="No"/>
    <n v="310"/>
    <s v="On Time"/>
  </r>
  <r>
    <n v="1046"/>
    <d v="2026-03-19T00:00:00"/>
    <s v="C009"/>
    <s v="Pacific Care Center"/>
    <x v="3"/>
    <s v="P005"/>
    <s v="Ultrasound Transducer"/>
    <x v="5"/>
    <s v="MedTech Systems"/>
    <n v="2"/>
    <n v="1200"/>
    <n v="5"/>
    <n v="5"/>
    <s v="No"/>
    <s v="No"/>
    <n v="2400"/>
    <s v="On Time"/>
  </r>
  <r>
    <n v="1086"/>
    <d v="2026-03-20T00:00:00"/>
    <s v="C012"/>
    <s v="Sunrise Medical Pavilion"/>
    <x v="2"/>
    <s v="P006"/>
    <s v="ECG Lead Cable"/>
    <x v="3"/>
    <s v="VitalWorks"/>
    <n v="10"/>
    <n v="78"/>
    <n v="2"/>
    <n v="2"/>
    <s v="No"/>
    <s v="No"/>
    <n v="780"/>
    <s v="On Time"/>
  </r>
  <r>
    <n v="1150"/>
    <d v="2026-03-20T00:00:00"/>
    <s v="C005"/>
    <s v="Western Regional Hospital"/>
    <x v="3"/>
    <s v="P009"/>
    <s v="CT Cooling Fan"/>
    <x v="5"/>
    <s v="ScanPro Healthcare"/>
    <n v="3"/>
    <n v="475"/>
    <n v="4"/>
    <n v="5"/>
    <s v="No"/>
    <s v="No"/>
    <n v="1425"/>
    <s v="Late"/>
  </r>
  <r>
    <n v="1016"/>
    <d v="2026-03-21T00:00:00"/>
    <s v="C004"/>
    <s v="Northeast Surgical Center"/>
    <x v="1"/>
    <s v="P001"/>
    <s v="X-Ray Detector"/>
    <x v="5"/>
    <s v="MedTech Systems"/>
    <n v="5"/>
    <n v="850"/>
    <n v="3"/>
    <n v="2"/>
    <s v="No"/>
    <s v="No"/>
    <n v="4250"/>
    <s v="On Time"/>
  </r>
  <r>
    <n v="1146"/>
    <d v="2026-03-22T00:00:00"/>
    <s v="C012"/>
    <s v="Sunrise Medical Pavilion"/>
    <x v="2"/>
    <s v="P005"/>
    <s v="Ultrasound Transducer"/>
    <x v="5"/>
    <s v="MedTech Systems"/>
    <n v="2"/>
    <n v="1200"/>
    <n v="5"/>
    <n v="4"/>
    <s v="No"/>
    <s v="No"/>
    <n v="2400"/>
    <s v="On Time"/>
  </r>
  <r>
    <n v="1087"/>
    <d v="2026-03-25T00:00:00"/>
    <s v="C010"/>
    <s v="Allegheny Health Clinic"/>
    <x v="1"/>
    <s v="P004"/>
    <s v="Infusion Pump Motor"/>
    <x v="0"/>
    <s v="Precision Medical"/>
    <n v="2"/>
    <n v="310"/>
    <n v="4"/>
    <n v="6"/>
    <s v="No"/>
    <s v="No"/>
    <n v="620"/>
    <s v="Late"/>
  </r>
  <r>
    <n v="1071"/>
    <d v="2026-03-26T00:00:00"/>
    <s v="C003"/>
    <s v="Riverside Health"/>
    <x v="2"/>
    <s v="P007"/>
    <s v="Surgical Light Bulb"/>
    <x v="0"/>
    <s v="Precision Medical"/>
    <n v="13"/>
    <n v="95"/>
    <n v="3"/>
    <n v="3"/>
    <s v="No"/>
    <s v="No"/>
    <n v="1235"/>
    <s v="On Time"/>
  </r>
  <r>
    <n v="1129"/>
    <d v="2026-03-26T00:00:00"/>
    <s v="C007"/>
    <s v="Great Lakes Medical Center"/>
    <x v="0"/>
    <s v="P015"/>
    <s v="MRI Table Motor"/>
    <x v="5"/>
    <s v="ScanPro Healthcare"/>
    <n v="3"/>
    <n v="1450"/>
    <n v="6"/>
    <n v="8"/>
    <s v="No"/>
    <s v="No"/>
    <n v="4350"/>
    <s v="Late"/>
  </r>
  <r>
    <n v="1040"/>
    <d v="2026-03-28T00:00:00"/>
    <s v="C007"/>
    <s v="Great Lakes Medical Center"/>
    <x v="0"/>
    <s v="P013"/>
    <s v="Pulse Oximeter Sensor"/>
    <x v="3"/>
    <s v="VitalWorks"/>
    <n v="9"/>
    <n v="62"/>
    <n v="2"/>
    <n v="3"/>
    <s v="No"/>
    <s v="No"/>
    <n v="558"/>
    <s v="Late"/>
  </r>
  <r>
    <n v="1062"/>
    <d v="2026-03-29T00:00:00"/>
    <s v="C007"/>
    <s v="Great Lakes Medical Center"/>
    <x v="0"/>
    <s v="P004"/>
    <s v="Infusion Pump Motor"/>
    <x v="0"/>
    <s v="Precision Medical"/>
    <n v="7"/>
    <n v="310"/>
    <n v="4"/>
    <n v="3"/>
    <s v="No"/>
    <s v="No"/>
    <n v="2170"/>
    <s v="On Time"/>
  </r>
  <r>
    <n v="1137"/>
    <d v="2026-03-29T00:00:00"/>
    <s v="C006"/>
    <s v="Metro Health Network"/>
    <x v="1"/>
    <s v="P001"/>
    <s v="X-Ray Detector"/>
    <x v="5"/>
    <s v="MedTech Systems"/>
    <n v="2"/>
    <n v="850"/>
    <n v="3"/>
    <n v="4"/>
    <s v="No"/>
    <s v="No"/>
    <n v="1700"/>
    <s v="Late"/>
  </r>
  <r>
    <n v="1032"/>
    <d v="2026-04-01T00:00:00"/>
    <s v="C002"/>
    <s v="Central Ohio Hospital"/>
    <x v="0"/>
    <s v="P013"/>
    <s v="Pulse Oximeter Sensor"/>
    <x v="3"/>
    <s v="VitalWorks"/>
    <n v="13"/>
    <n v="62"/>
    <n v="2"/>
    <n v="2"/>
    <s v="No"/>
    <s v="No"/>
    <n v="806"/>
    <s v="On Time"/>
  </r>
  <r>
    <n v="1063"/>
    <d v="2026-04-01T00:00:00"/>
    <s v="C004"/>
    <s v="Northeast Surgical Center"/>
    <x v="1"/>
    <s v="P010"/>
    <s v="Defibrillator Battery"/>
    <x v="4"/>
    <s v="RescueMed"/>
    <n v="1"/>
    <n v="265"/>
    <n v="2"/>
    <n v="3"/>
    <s v="No"/>
    <s v="No"/>
    <n v="265"/>
    <s v="Late"/>
  </r>
  <r>
    <n v="1147"/>
    <d v="2026-04-01T00:00:00"/>
    <s v="C006"/>
    <s v="Metro Health Network"/>
    <x v="1"/>
    <s v="P011"/>
    <s v="Bed Control Module"/>
    <x v="1"/>
    <s v="CareMotion"/>
    <n v="3"/>
    <n v="390"/>
    <n v="3"/>
    <n v="3"/>
    <s v="No"/>
    <s v="No"/>
    <n v="1170"/>
    <s v="On Time"/>
  </r>
  <r>
    <n v="1011"/>
    <d v="2026-04-04T00:00:00"/>
    <s v="C004"/>
    <s v="Northeast Surgical Center"/>
    <x v="1"/>
    <s v="P015"/>
    <s v="MRI Table Motor"/>
    <x v="5"/>
    <s v="ScanPro Healthcare"/>
    <n v="1"/>
    <n v="1450"/>
    <n v="6"/>
    <n v="5"/>
    <s v="No"/>
    <s v="No"/>
    <n v="1450"/>
    <s v="On Time"/>
  </r>
  <r>
    <n v="1068"/>
    <d v="2026-04-04T00:00:00"/>
    <s v="C011"/>
    <s v="Heartland Regional Medical"/>
    <x v="0"/>
    <s v="P014"/>
    <s v="Ventilator Flow Valve"/>
    <x v="2"/>
    <s v="AirMed"/>
    <n v="8"/>
    <n v="285"/>
    <n v="3"/>
    <n v="3"/>
    <s v="No"/>
    <s v="No"/>
    <n v="2280"/>
    <s v="On Time"/>
  </r>
  <r>
    <n v="1126"/>
    <d v="2026-04-04T00:00:00"/>
    <s v="C009"/>
    <s v="Pacific Care Center"/>
    <x v="3"/>
    <s v="P009"/>
    <s v="CT Cooling Fan"/>
    <x v="5"/>
    <s v="ScanPro Healthcare"/>
    <n v="4"/>
    <n v="475"/>
    <n v="4"/>
    <n v="6"/>
    <s v="No"/>
    <s v="No"/>
    <n v="1900"/>
    <s v="Late"/>
  </r>
  <r>
    <n v="1007"/>
    <d v="2026-04-05T00:00:00"/>
    <s v="C003"/>
    <s v="Riverside Health"/>
    <x v="2"/>
    <s v="P006"/>
    <s v="ECG Lead Cable"/>
    <x v="3"/>
    <s v="VitalWorks"/>
    <n v="8"/>
    <n v="78"/>
    <n v="2"/>
    <n v="1"/>
    <s v="No"/>
    <s v="No"/>
    <n v="624"/>
    <s v="On Time"/>
  </r>
  <r>
    <n v="1113"/>
    <d v="2026-04-05T00:00:00"/>
    <s v="C009"/>
    <s v="Pacific Care Center"/>
    <x v="3"/>
    <s v="P007"/>
    <s v="Surgical Light Bulb"/>
    <x v="0"/>
    <s v="Precision Medical"/>
    <n v="10"/>
    <n v="95"/>
    <n v="3"/>
    <n v="3"/>
    <s v="No"/>
    <s v="No"/>
    <n v="950"/>
    <s v="On Time"/>
  </r>
  <r>
    <n v="1015"/>
    <d v="2026-04-07T00:00:00"/>
    <s v="C003"/>
    <s v="Riverside Health"/>
    <x v="2"/>
    <s v="P008"/>
    <s v="Oxygen Sensor"/>
    <x v="2"/>
    <s v="AirMed"/>
    <n v="1"/>
    <n v="160"/>
    <n v="2"/>
    <n v="3"/>
    <s v="No"/>
    <s v="No"/>
    <n v="160"/>
    <s v="Late"/>
  </r>
  <r>
    <n v="1047"/>
    <d v="2026-04-09T00:00:00"/>
    <s v="C011"/>
    <s v="Heartland Regional Medical"/>
    <x v="0"/>
    <s v="P012"/>
    <s v="Suction Pump Assembly"/>
    <x v="0"/>
    <s v="Precision Medical"/>
    <n v="2"/>
    <n v="540"/>
    <n v="4"/>
    <n v="4"/>
    <s v="No"/>
    <s v="No"/>
    <n v="1080"/>
    <s v="On Time"/>
  </r>
  <r>
    <n v="1010"/>
    <d v="2026-04-13T00:00:00"/>
    <s v="C011"/>
    <s v="Heartland Regional Medical"/>
    <x v="0"/>
    <s v="P007"/>
    <s v="Surgical Light Bulb"/>
    <x v="0"/>
    <s v="Precision Medical"/>
    <n v="10"/>
    <n v="95"/>
    <n v="3"/>
    <n v="4"/>
    <s v="Yes"/>
    <s v="No"/>
    <n v="950"/>
    <s v="Late"/>
  </r>
  <r>
    <n v="1023"/>
    <d v="2026-04-15T00:00:00"/>
    <s v="C012"/>
    <s v="Sunrise Medical Pavilion"/>
    <x v="2"/>
    <s v="P005"/>
    <s v="Ultrasound Transducer"/>
    <x v="5"/>
    <s v="MedTech Systems"/>
    <n v="1"/>
    <n v="1200"/>
    <n v="5"/>
    <n v="5"/>
    <s v="No"/>
    <s v="No"/>
    <n v="1200"/>
    <s v="On Time"/>
  </r>
  <r>
    <n v="1060"/>
    <d v="2026-04-15T00:00:00"/>
    <s v="C012"/>
    <s v="Sunrise Medical Pavilion"/>
    <x v="2"/>
    <s v="P003"/>
    <s v="Ventilator Filter"/>
    <x v="2"/>
    <s v="AirMed"/>
    <n v="16"/>
    <n v="42.5"/>
    <n v="2"/>
    <n v="3"/>
    <s v="No"/>
    <s v="No"/>
    <n v="680"/>
    <s v="Late"/>
  </r>
  <r>
    <n v="1090"/>
    <d v="2026-04-17T00:00:00"/>
    <s v="C012"/>
    <s v="Sunrise Medical Pavilion"/>
    <x v="2"/>
    <s v="P007"/>
    <s v="Surgical Light Bulb"/>
    <x v="0"/>
    <s v="Precision Medical"/>
    <n v="14"/>
    <n v="95"/>
    <n v="3"/>
    <n v="6"/>
    <s v="No"/>
    <s v="No"/>
    <n v="1330"/>
    <s v="Late"/>
  </r>
  <r>
    <n v="1051"/>
    <d v="2026-04-18T00:00:00"/>
    <s v="C011"/>
    <s v="Heartland Regional Medical"/>
    <x v="0"/>
    <s v="P008"/>
    <s v="Oxygen Sensor"/>
    <x v="2"/>
    <s v="AirMed"/>
    <n v="7"/>
    <n v="160"/>
    <n v="2"/>
    <n v="2"/>
    <s v="No"/>
    <s v="No"/>
    <n v="1120"/>
    <s v="On Time"/>
  </r>
  <r>
    <n v="1022"/>
    <d v="2026-04-22T00:00:00"/>
    <s v="C006"/>
    <s v="Metro Health Network"/>
    <x v="1"/>
    <s v="P006"/>
    <s v="ECG Lead Cable"/>
    <x v="3"/>
    <s v="VitalWorks"/>
    <n v="16"/>
    <n v="78"/>
    <n v="2"/>
    <n v="1"/>
    <s v="No"/>
    <s v="No"/>
    <n v="1248"/>
    <s v="On Time"/>
  </r>
  <r>
    <n v="1105"/>
    <d v="2026-04-22T00:00:00"/>
    <s v="C003"/>
    <s v="Riverside Health"/>
    <x v="2"/>
    <s v="P004"/>
    <s v="Infusion Pump Motor"/>
    <x v="0"/>
    <s v="Precision Medical"/>
    <n v="7"/>
    <n v="310"/>
    <n v="4"/>
    <n v="5"/>
    <s v="No"/>
    <s v="No"/>
    <n v="2170"/>
    <s v="Late"/>
  </r>
  <r>
    <n v="1081"/>
    <d v="2026-04-25T00:00:00"/>
    <s v="C005"/>
    <s v="Western Regional Hospital"/>
    <x v="3"/>
    <s v="P013"/>
    <s v="Pulse Oximeter Sensor"/>
    <x v="3"/>
    <s v="VitalWorks"/>
    <n v="15"/>
    <n v="62"/>
    <n v="2"/>
    <n v="4"/>
    <s v="No"/>
    <s v="No"/>
    <n v="930"/>
    <s v="Late"/>
  </r>
  <r>
    <n v="1128"/>
    <d v="2026-04-25T00:00:00"/>
    <s v="C002"/>
    <s v="Central Ohio Hospital"/>
    <x v="0"/>
    <s v="P014"/>
    <s v="Ventilator Flow Valve"/>
    <x v="2"/>
    <s v="AirMed"/>
    <n v="6"/>
    <n v="285"/>
    <n v="3"/>
    <n v="2"/>
    <s v="No"/>
    <s v="No"/>
    <n v="1710"/>
    <s v="On Time"/>
  </r>
  <r>
    <n v="1108"/>
    <d v="2026-04-28T00:00:00"/>
    <s v="C005"/>
    <s v="Western Regional Hospital"/>
    <x v="3"/>
    <s v="P003"/>
    <s v="Ventilator Filter"/>
    <x v="2"/>
    <s v="AirMed"/>
    <n v="14"/>
    <n v="42.5"/>
    <n v="2"/>
    <n v="1"/>
    <s v="No"/>
    <s v="No"/>
    <n v="595"/>
    <s v="On Time"/>
  </r>
  <r>
    <n v="1119"/>
    <d v="2026-04-28T00:00:00"/>
    <s v="C006"/>
    <s v="Metro Health Network"/>
    <x v="1"/>
    <s v="P010"/>
    <s v="Defibrillator Battery"/>
    <x v="4"/>
    <s v="RescueMed"/>
    <n v="7"/>
    <n v="265"/>
    <n v="2"/>
    <n v="2"/>
    <s v="No"/>
    <s v="No"/>
    <n v="1855"/>
    <s v="On Time"/>
  </r>
  <r>
    <n v="1131"/>
    <d v="2026-04-28T00:00:00"/>
    <s v="C007"/>
    <s v="Great Lakes Medical Center"/>
    <x v="0"/>
    <s v="P006"/>
    <s v="ECG Lead Cable"/>
    <x v="3"/>
    <s v="VitalWorks"/>
    <n v="5"/>
    <n v="78"/>
    <n v="2"/>
    <n v="2"/>
    <s v="No"/>
    <s v="No"/>
    <n v="390"/>
    <s v="On Time"/>
  </r>
  <r>
    <n v="1005"/>
    <d v="2026-04-29T00:00:00"/>
    <s v="C009"/>
    <s v="Pacific Care Center"/>
    <x v="3"/>
    <s v="P002"/>
    <s v="Patient Monitor Battery"/>
    <x v="3"/>
    <s v="VitalWorks"/>
    <n v="14"/>
    <n v="125"/>
    <n v="2"/>
    <n v="2"/>
    <s v="Yes"/>
    <s v="No"/>
    <n v="1750"/>
    <s v="On Time"/>
  </r>
  <r>
    <n v="1024"/>
    <d v="2026-04-30T00:00:00"/>
    <s v="C004"/>
    <s v="Northeast Surgical Center"/>
    <x v="1"/>
    <s v="P013"/>
    <s v="Pulse Oximeter Sensor"/>
    <x v="3"/>
    <s v="VitalWorks"/>
    <n v="4"/>
    <n v="62"/>
    <n v="2"/>
    <n v="4"/>
    <s v="No"/>
    <s v="No"/>
    <n v="248"/>
    <s v="Late"/>
  </r>
  <r>
    <n v="1053"/>
    <d v="2026-04-30T00:00:00"/>
    <s v="C011"/>
    <s v="Heartland Regional Medical"/>
    <x v="0"/>
    <s v="P008"/>
    <s v="Oxygen Sensor"/>
    <x v="2"/>
    <s v="AirMed"/>
    <n v="6"/>
    <n v="160"/>
    <n v="2"/>
    <n v="2"/>
    <s v="No"/>
    <s v="No"/>
    <n v="960"/>
    <s v="On Time"/>
  </r>
  <r>
    <n v="1107"/>
    <d v="2026-05-01T00:00:00"/>
    <s v="C005"/>
    <s v="Western Regional Hospital"/>
    <x v="3"/>
    <s v="P010"/>
    <s v="Defibrillator Battery"/>
    <x v="4"/>
    <s v="RescueMed"/>
    <n v="3"/>
    <n v="265"/>
    <n v="2"/>
    <n v="3"/>
    <s v="Yes"/>
    <s v="No"/>
    <n v="795"/>
    <s v="Late"/>
  </r>
  <r>
    <n v="1083"/>
    <d v="2026-05-02T00:00:00"/>
    <s v="C005"/>
    <s v="Western Regional Hospital"/>
    <x v="3"/>
    <s v="P001"/>
    <s v="X-Ray Detector"/>
    <x v="5"/>
    <s v="MedTech Systems"/>
    <n v="3"/>
    <n v="850"/>
    <n v="3"/>
    <n v="4"/>
    <s v="No"/>
    <s v="No"/>
    <n v="2550"/>
    <s v="Late"/>
  </r>
  <r>
    <n v="1074"/>
    <d v="2026-05-03T00:00:00"/>
    <s v="C009"/>
    <s v="Pacific Care Center"/>
    <x v="3"/>
    <s v="P008"/>
    <s v="Oxygen Sensor"/>
    <x v="2"/>
    <s v="AirMed"/>
    <n v="7"/>
    <n v="160"/>
    <n v="2"/>
    <n v="3"/>
    <s v="No"/>
    <s v="No"/>
    <n v="1120"/>
    <s v="Late"/>
  </r>
  <r>
    <n v="1132"/>
    <d v="2026-05-03T00:00:00"/>
    <s v="C002"/>
    <s v="Central Ohio Hospital"/>
    <x v="0"/>
    <s v="P002"/>
    <s v="Patient Monitor Battery"/>
    <x v="3"/>
    <s v="VitalWorks"/>
    <n v="4"/>
    <n v="125"/>
    <n v="2"/>
    <n v="1"/>
    <s v="Yes"/>
    <s v="Yes"/>
    <n v="500"/>
    <s v="On Time"/>
  </r>
  <r>
    <n v="1076"/>
    <d v="2026-05-05T00:00:00"/>
    <s v="C005"/>
    <s v="Western Regional Hospital"/>
    <x v="3"/>
    <s v="P011"/>
    <s v="Bed Control Module"/>
    <x v="1"/>
    <s v="CareMotion"/>
    <n v="5"/>
    <n v="390"/>
    <n v="3"/>
    <n v="3"/>
    <s v="No"/>
    <s v="No"/>
    <n v="1950"/>
    <s v="On Time"/>
  </r>
  <r>
    <n v="1055"/>
    <d v="2026-05-06T00:00:00"/>
    <s v="C011"/>
    <s v="Heartland Regional Medical"/>
    <x v="0"/>
    <s v="P004"/>
    <s v="Infusion Pump Motor"/>
    <x v="0"/>
    <s v="Precision Medical"/>
    <n v="8"/>
    <n v="310"/>
    <n v="4"/>
    <n v="4"/>
    <s v="Yes"/>
    <s v="No"/>
    <n v="2480"/>
    <s v="On Time"/>
  </r>
  <r>
    <n v="1093"/>
    <d v="2026-05-06T00:00:00"/>
    <s v="C002"/>
    <s v="Central Ohio Hospital"/>
    <x v="0"/>
    <s v="P001"/>
    <s v="X-Ray Detector"/>
    <x v="5"/>
    <s v="MedTech Systems"/>
    <n v="5"/>
    <n v="850"/>
    <n v="3"/>
    <n v="4"/>
    <s v="No"/>
    <s v="No"/>
    <n v="4250"/>
    <s v="Late"/>
  </r>
  <r>
    <n v="1073"/>
    <d v="2026-05-07T00:00:00"/>
    <s v="C008"/>
    <s v="Piedmont Community Hospital"/>
    <x v="2"/>
    <s v="P013"/>
    <s v="Pulse Oximeter Sensor"/>
    <x v="3"/>
    <s v="VitalWorks"/>
    <n v="4"/>
    <n v="62"/>
    <n v="2"/>
    <n v="2"/>
    <s v="No"/>
    <s v="No"/>
    <n v="248"/>
    <s v="On Time"/>
  </r>
  <r>
    <n v="1044"/>
    <d v="2026-05-12T00:00:00"/>
    <s v="C002"/>
    <s v="Central Ohio Hospital"/>
    <x v="0"/>
    <s v="P006"/>
    <s v="ECG Lead Cable"/>
    <x v="3"/>
    <s v="VitalWorks"/>
    <n v="20"/>
    <n v="78"/>
    <n v="2"/>
    <n v="2"/>
    <s v="Yes"/>
    <s v="No"/>
    <n v="1560"/>
    <s v="On Time"/>
  </r>
  <r>
    <n v="1019"/>
    <d v="2026-05-14T00:00:00"/>
    <s v="C008"/>
    <s v="Piedmont Community Hospital"/>
    <x v="2"/>
    <s v="P002"/>
    <s v="Patient Monitor Battery"/>
    <x v="3"/>
    <s v="VitalWorks"/>
    <n v="9"/>
    <n v="125"/>
    <n v="2"/>
    <n v="2"/>
    <s v="Yes"/>
    <s v="No"/>
    <n v="1125"/>
    <s v="On Time"/>
  </r>
  <r>
    <n v="1127"/>
    <d v="2026-05-15T00:00:00"/>
    <s v="C005"/>
    <s v="Western Regional Hospital"/>
    <x v="3"/>
    <s v="P007"/>
    <s v="Surgical Light Bulb"/>
    <x v="0"/>
    <s v="Precision Medical"/>
    <n v="2"/>
    <n v="95"/>
    <n v="3"/>
    <n v="3"/>
    <s v="Yes"/>
    <s v="No"/>
    <n v="190"/>
    <s v="On Time"/>
  </r>
  <r>
    <n v="1028"/>
    <d v="2026-05-17T00:00:00"/>
    <s v="C003"/>
    <s v="Riverside Health"/>
    <x v="2"/>
    <s v="P001"/>
    <s v="X-Ray Detector"/>
    <x v="5"/>
    <s v="MedTech Systems"/>
    <n v="5"/>
    <n v="850"/>
    <n v="3"/>
    <n v="5"/>
    <s v="Yes"/>
    <s v="No"/>
    <n v="4250"/>
    <s v="Late"/>
  </r>
  <r>
    <n v="1017"/>
    <d v="2026-05-18T00:00:00"/>
    <s v="C003"/>
    <s v="Riverside Health"/>
    <x v="2"/>
    <s v="P002"/>
    <s v="Patient Monitor Battery"/>
    <x v="3"/>
    <s v="VitalWorks"/>
    <n v="17"/>
    <n v="125"/>
    <n v="2"/>
    <n v="3"/>
    <s v="No"/>
    <s v="No"/>
    <n v="2125"/>
    <s v="Late"/>
  </r>
  <r>
    <n v="1077"/>
    <d v="2026-05-18T00:00:00"/>
    <s v="C003"/>
    <s v="Riverside Health"/>
    <x v="2"/>
    <s v="P004"/>
    <s v="Infusion Pump Motor"/>
    <x v="0"/>
    <s v="Precision Medical"/>
    <n v="1"/>
    <n v="310"/>
    <n v="4"/>
    <n v="4"/>
    <s v="No"/>
    <s v="No"/>
    <n v="310"/>
    <s v="On Time"/>
  </r>
  <r>
    <n v="1102"/>
    <d v="2026-05-18T00:00:00"/>
    <s v="C007"/>
    <s v="Great Lakes Medical Center"/>
    <x v="0"/>
    <s v="P015"/>
    <s v="MRI Table Motor"/>
    <x v="5"/>
    <s v="ScanPro Healthcare"/>
    <n v="3"/>
    <n v="1450"/>
    <n v="6"/>
    <n v="7"/>
    <s v="No"/>
    <s v="No"/>
    <n v="4350"/>
    <s v="Late"/>
  </r>
  <r>
    <n v="1021"/>
    <d v="2026-05-20T00:00:00"/>
    <s v="C003"/>
    <s v="Riverside Health"/>
    <x v="2"/>
    <s v="P011"/>
    <s v="Bed Control Module"/>
    <x v="1"/>
    <s v="CareMotion"/>
    <n v="8"/>
    <n v="390"/>
    <n v="3"/>
    <n v="3"/>
    <s v="No"/>
    <s v="No"/>
    <n v="3120"/>
    <s v="On Time"/>
  </r>
  <r>
    <n v="1003"/>
    <d v="2026-05-21T00:00:00"/>
    <s v="C007"/>
    <s v="Great Lakes Medical Center"/>
    <x v="0"/>
    <s v="P003"/>
    <s v="Ventilator Filter"/>
    <x v="2"/>
    <s v="AirMed"/>
    <n v="20"/>
    <n v="42.5"/>
    <n v="2"/>
    <n v="1"/>
    <s v="No"/>
    <s v="No"/>
    <n v="850"/>
    <s v="On Time"/>
  </r>
  <r>
    <n v="1059"/>
    <d v="2026-05-21T00:00:00"/>
    <s v="C010"/>
    <s v="Allegheny Health Clinic"/>
    <x v="1"/>
    <s v="P014"/>
    <s v="Ventilator Flow Valve"/>
    <x v="2"/>
    <s v="AirMed"/>
    <n v="8"/>
    <n v="285"/>
    <n v="3"/>
    <n v="3"/>
    <s v="No"/>
    <s v="No"/>
    <n v="2280"/>
    <s v="On Time"/>
  </r>
  <r>
    <n v="1098"/>
    <d v="2026-05-21T00:00:00"/>
    <s v="C007"/>
    <s v="Great Lakes Medical Center"/>
    <x v="0"/>
    <s v="P007"/>
    <s v="Surgical Light Bulb"/>
    <x v="0"/>
    <s v="Precision Medical"/>
    <n v="12"/>
    <n v="95"/>
    <n v="3"/>
    <n v="3"/>
    <s v="No"/>
    <s v="No"/>
    <n v="1140"/>
    <s v="On Time"/>
  </r>
  <r>
    <n v="1054"/>
    <d v="2026-05-22T00:00:00"/>
    <s v="C008"/>
    <s v="Piedmont Community Hospital"/>
    <x v="2"/>
    <s v="P014"/>
    <s v="Ventilator Flow Valve"/>
    <x v="2"/>
    <s v="AirMed"/>
    <n v="8"/>
    <n v="285"/>
    <n v="3"/>
    <n v="3"/>
    <s v="No"/>
    <s v="No"/>
    <n v="2280"/>
    <s v="On Time"/>
  </r>
  <r>
    <n v="1123"/>
    <d v="2026-05-23T00:00:00"/>
    <s v="C004"/>
    <s v="Northeast Surgical Center"/>
    <x v="1"/>
    <s v="P009"/>
    <s v="CT Cooling Fan"/>
    <x v="5"/>
    <s v="ScanPro Healthcare"/>
    <n v="2"/>
    <n v="475"/>
    <n v="4"/>
    <n v="4"/>
    <s v="No"/>
    <s v="No"/>
    <n v="950"/>
    <s v="On Time"/>
  </r>
  <r>
    <n v="1072"/>
    <d v="2026-05-24T00:00:00"/>
    <s v="C001"/>
    <s v="Lakeview Medical Center"/>
    <x v="0"/>
    <s v="P008"/>
    <s v="Oxygen Sensor"/>
    <x v="2"/>
    <s v="AirMed"/>
    <n v="4"/>
    <n v="160"/>
    <n v="2"/>
    <n v="2"/>
    <s v="Yes"/>
    <s v="No"/>
    <n v="640"/>
    <s v="On Time"/>
  </r>
  <r>
    <n v="1135"/>
    <d v="2026-05-24T00:00:00"/>
    <s v="C006"/>
    <s v="Metro Health Network"/>
    <x v="1"/>
    <s v="P002"/>
    <s v="Patient Monitor Battery"/>
    <x v="3"/>
    <s v="VitalWorks"/>
    <n v="10"/>
    <n v="125"/>
    <n v="2"/>
    <n v="2"/>
    <s v="No"/>
    <s v="No"/>
    <n v="1250"/>
    <s v="On Time"/>
  </r>
  <r>
    <n v="1117"/>
    <d v="2026-05-25T00:00:00"/>
    <s v="C006"/>
    <s v="Metro Health Network"/>
    <x v="1"/>
    <s v="P014"/>
    <s v="Ventilator Flow Valve"/>
    <x v="2"/>
    <s v="AirMed"/>
    <n v="4"/>
    <n v="285"/>
    <n v="3"/>
    <n v="3"/>
    <s v="No"/>
    <s v="No"/>
    <n v="1140"/>
    <s v="On Time"/>
  </r>
  <r>
    <n v="1133"/>
    <d v="2026-05-25T00:00:00"/>
    <s v="C009"/>
    <s v="Pacific Care Center"/>
    <x v="3"/>
    <s v="P005"/>
    <s v="Ultrasound Transducer"/>
    <x v="5"/>
    <s v="MedTech Systems"/>
    <n v="1"/>
    <n v="1200"/>
    <n v="5"/>
    <n v="5"/>
    <s v="No"/>
    <s v="No"/>
    <n v="1200"/>
    <s v="On Time"/>
  </r>
  <r>
    <n v="1149"/>
    <d v="2026-05-26T00:00:00"/>
    <s v="C011"/>
    <s v="Heartland Regional Medical"/>
    <x v="0"/>
    <s v="P009"/>
    <s v="CT Cooling Fan"/>
    <x v="5"/>
    <s v="ScanPro Healthcare"/>
    <n v="5"/>
    <n v="475"/>
    <n v="4"/>
    <n v="5"/>
    <s v="No"/>
    <s v="No"/>
    <n v="2375"/>
    <s v="Late"/>
  </r>
  <r>
    <n v="1029"/>
    <d v="2026-05-27T00:00:00"/>
    <s v="C004"/>
    <s v="Northeast Surgical Center"/>
    <x v="1"/>
    <s v="P008"/>
    <s v="Oxygen Sensor"/>
    <x v="2"/>
    <s v="AirMed"/>
    <n v="1"/>
    <n v="160"/>
    <n v="2"/>
    <n v="2"/>
    <s v="No"/>
    <s v="No"/>
    <n v="160"/>
    <s v="On Time"/>
  </r>
  <r>
    <n v="1139"/>
    <d v="2026-05-27T00:00:00"/>
    <s v="C010"/>
    <s v="Allegheny Health Clinic"/>
    <x v="1"/>
    <s v="P002"/>
    <s v="Patient Monitor Battery"/>
    <x v="3"/>
    <s v="VitalWorks"/>
    <n v="3"/>
    <n v="125"/>
    <n v="2"/>
    <n v="5"/>
    <s v="Yes"/>
    <s v="No"/>
    <n v="375"/>
    <s v="Late"/>
  </r>
  <r>
    <n v="1144"/>
    <d v="2026-05-28T00:00:00"/>
    <s v="C007"/>
    <s v="Great Lakes Medical Center"/>
    <x v="0"/>
    <s v="P011"/>
    <s v="Bed Control Module"/>
    <x v="1"/>
    <s v="CareMotion"/>
    <n v="7"/>
    <n v="390"/>
    <n v="3"/>
    <n v="4"/>
    <s v="No"/>
    <s v="No"/>
    <n v="2730"/>
    <s v="Late"/>
  </r>
  <r>
    <n v="1058"/>
    <d v="2026-05-29T00:00:00"/>
    <s v="C007"/>
    <s v="Great Lakes Medical Center"/>
    <x v="0"/>
    <s v="P007"/>
    <s v="Surgical Light Bulb"/>
    <x v="0"/>
    <s v="Precision Medical"/>
    <n v="13"/>
    <n v="95"/>
    <n v="3"/>
    <n v="3"/>
    <s v="No"/>
    <s v="No"/>
    <n v="1235"/>
    <s v="On Time"/>
  </r>
  <r>
    <n v="1097"/>
    <d v="2026-06-01T00:00:00"/>
    <s v="C010"/>
    <s v="Allegheny Health Clinic"/>
    <x v="1"/>
    <s v="P015"/>
    <s v="MRI Table Motor"/>
    <x v="5"/>
    <s v="ScanPro Healthcare"/>
    <n v="2"/>
    <n v="1450"/>
    <n v="6"/>
    <n v="6"/>
    <s v="No"/>
    <s v="No"/>
    <n v="2900"/>
    <s v="On Time"/>
  </r>
  <r>
    <n v="1100"/>
    <d v="2026-06-02T00:00:00"/>
    <s v="C006"/>
    <s v="Metro Health Network"/>
    <x v="1"/>
    <s v="P013"/>
    <s v="Pulse Oximeter Sensor"/>
    <x v="3"/>
    <s v="VitalWorks"/>
    <n v="16"/>
    <n v="62"/>
    <n v="2"/>
    <n v="4"/>
    <s v="Yes"/>
    <s v="No"/>
    <n v="992"/>
    <s v="Late"/>
  </r>
  <r>
    <n v="1141"/>
    <d v="2026-06-02T00:00:00"/>
    <s v="C008"/>
    <s v="Piedmont Community Hospital"/>
    <x v="2"/>
    <s v="P008"/>
    <s v="Oxygen Sensor"/>
    <x v="2"/>
    <s v="AirMed"/>
    <n v="5"/>
    <n v="160"/>
    <n v="2"/>
    <n v="3"/>
    <s v="Yes"/>
    <s v="No"/>
    <n v="800"/>
    <s v="Late"/>
  </r>
  <r>
    <n v="1134"/>
    <d v="2026-06-04T00:00:00"/>
    <s v="C005"/>
    <s v="Western Regional Hospital"/>
    <x v="3"/>
    <s v="P005"/>
    <s v="Ultrasound Transducer"/>
    <x v="5"/>
    <s v="MedTech Systems"/>
    <n v="3"/>
    <n v="1200"/>
    <n v="5"/>
    <n v="5"/>
    <s v="No"/>
    <s v="No"/>
    <n v="3600"/>
    <s v="On Time"/>
  </r>
  <r>
    <n v="1110"/>
    <d v="2026-06-06T00:00:00"/>
    <s v="C012"/>
    <s v="Sunrise Medical Pavilion"/>
    <x v="2"/>
    <s v="P007"/>
    <s v="Surgical Light Bulb"/>
    <x v="0"/>
    <s v="Precision Medical"/>
    <n v="11"/>
    <n v="95"/>
    <n v="3"/>
    <n v="3"/>
    <s v="No"/>
    <s v="No"/>
    <n v="1045"/>
    <s v="On Time"/>
  </r>
  <r>
    <n v="1140"/>
    <d v="2026-06-06T00:00:00"/>
    <s v="C008"/>
    <s v="Piedmont Community Hospital"/>
    <x v="2"/>
    <s v="P006"/>
    <s v="ECG Lead Cable"/>
    <x v="3"/>
    <s v="VitalWorks"/>
    <n v="8"/>
    <n v="78"/>
    <n v="2"/>
    <n v="2"/>
    <s v="No"/>
    <s v="No"/>
    <n v="624"/>
    <s v="On Time"/>
  </r>
  <r>
    <n v="1069"/>
    <d v="2026-06-08T00:00:00"/>
    <s v="C009"/>
    <s v="Pacific Care Center"/>
    <x v="3"/>
    <s v="P012"/>
    <s v="Suction Pump Assembly"/>
    <x v="0"/>
    <s v="Precision Medical"/>
    <n v="4"/>
    <n v="540"/>
    <n v="4"/>
    <n v="5"/>
    <s v="No"/>
    <s v="No"/>
    <n v="2160"/>
    <s v="Late"/>
  </r>
  <r>
    <n v="1120"/>
    <d v="2026-06-08T00:00:00"/>
    <s v="C007"/>
    <s v="Great Lakes Medical Center"/>
    <x v="0"/>
    <s v="P014"/>
    <s v="Ventilator Flow Valve"/>
    <x v="2"/>
    <s v="AirMed"/>
    <n v="5"/>
    <n v="285"/>
    <n v="3"/>
    <n v="3"/>
    <s v="Yes"/>
    <s v="No"/>
    <n v="1425"/>
    <s v="On Time"/>
  </r>
  <r>
    <n v="1136"/>
    <d v="2026-06-08T00:00:00"/>
    <s v="C011"/>
    <s v="Heartland Regional Medical"/>
    <x v="0"/>
    <s v="P010"/>
    <s v="Defibrillator Battery"/>
    <x v="4"/>
    <s v="RescueMed"/>
    <n v="1"/>
    <n v="265"/>
    <n v="2"/>
    <n v="3"/>
    <s v="No"/>
    <s v="No"/>
    <n v="265"/>
    <s v="Late"/>
  </r>
  <r>
    <n v="1039"/>
    <d v="2026-06-09T00:00:00"/>
    <s v="C012"/>
    <s v="Sunrise Medical Pavilion"/>
    <x v="2"/>
    <s v="P002"/>
    <s v="Patient Monitor Battery"/>
    <x v="3"/>
    <s v="VitalWorks"/>
    <n v="9"/>
    <n v="125"/>
    <n v="2"/>
    <n v="3"/>
    <s v="No"/>
    <s v="No"/>
    <n v="1125"/>
    <s v="Late"/>
  </r>
  <r>
    <n v="1106"/>
    <d v="2026-06-09T00:00:00"/>
    <s v="C011"/>
    <s v="Heartland Regional Medical"/>
    <x v="0"/>
    <s v="P004"/>
    <s v="Infusion Pump Motor"/>
    <x v="0"/>
    <s v="Precision Medical"/>
    <n v="3"/>
    <n v="310"/>
    <n v="4"/>
    <n v="4"/>
    <s v="No"/>
    <s v="No"/>
    <n v="930"/>
    <s v="On Time"/>
  </r>
  <r>
    <n v="1111"/>
    <d v="2026-06-09T00:00:00"/>
    <s v="C005"/>
    <s v="Western Regional Hospital"/>
    <x v="3"/>
    <s v="P010"/>
    <s v="Defibrillator Battery"/>
    <x v="4"/>
    <s v="RescueMed"/>
    <n v="3"/>
    <n v="265"/>
    <n v="2"/>
    <n v="1"/>
    <s v="No"/>
    <s v="No"/>
    <n v="795"/>
    <s v="On Time"/>
  </r>
  <r>
    <n v="1145"/>
    <d v="2026-06-09T00:00:00"/>
    <s v="C008"/>
    <s v="Piedmont Community Hospital"/>
    <x v="2"/>
    <s v="P013"/>
    <s v="Pulse Oximeter Sensor"/>
    <x v="3"/>
    <s v="VitalWorks"/>
    <n v="13"/>
    <n v="62"/>
    <n v="2"/>
    <n v="2"/>
    <s v="Yes"/>
    <s v="No"/>
    <n v="806"/>
    <s v="On Time"/>
  </r>
  <r>
    <n v="1092"/>
    <d v="2026-06-10T00:00:00"/>
    <s v="C008"/>
    <s v="Piedmont Community Hospital"/>
    <x v="2"/>
    <s v="P009"/>
    <s v="CT Cooling Fan"/>
    <x v="5"/>
    <s v="ScanPro Healthcare"/>
    <n v="1"/>
    <n v="475"/>
    <n v="4"/>
    <n v="6"/>
    <s v="No"/>
    <s v="No"/>
    <n v="475"/>
    <s v="Late"/>
  </r>
  <r>
    <n v="1084"/>
    <d v="2026-06-11T00:00:00"/>
    <s v="C010"/>
    <s v="Allegheny Health Clinic"/>
    <x v="1"/>
    <s v="P010"/>
    <s v="Defibrillator Battery"/>
    <x v="4"/>
    <s v="RescueMed"/>
    <n v="4"/>
    <n v="265"/>
    <n v="2"/>
    <n v="3"/>
    <s v="No"/>
    <s v="No"/>
    <n v="1060"/>
    <s v="Late"/>
  </r>
  <r>
    <n v="1020"/>
    <d v="2026-06-12T00:00:00"/>
    <s v="C001"/>
    <s v="Lakeview Medical Center"/>
    <x v="0"/>
    <s v="P003"/>
    <s v="Ventilator Filter"/>
    <x v="2"/>
    <s v="AirMed"/>
    <n v="3"/>
    <n v="42.5"/>
    <n v="2"/>
    <n v="1"/>
    <s v="No"/>
    <s v="No"/>
    <n v="127.5"/>
    <s v="On Time"/>
  </r>
  <r>
    <n v="1103"/>
    <d v="2026-06-12T00:00:00"/>
    <s v="C011"/>
    <s v="Heartland Regional Medical"/>
    <x v="0"/>
    <s v="P014"/>
    <s v="Ventilator Flow Valve"/>
    <x v="2"/>
    <s v="AirMed"/>
    <n v="4"/>
    <n v="285"/>
    <n v="3"/>
    <n v="3"/>
    <s v="No"/>
    <s v="No"/>
    <n v="1140"/>
    <s v="On Time"/>
  </r>
  <r>
    <n v="1089"/>
    <d v="2026-06-13T00:00:00"/>
    <s v="C008"/>
    <s v="Piedmont Community Hospital"/>
    <x v="2"/>
    <s v="P015"/>
    <s v="MRI Table Motor"/>
    <x v="5"/>
    <s v="ScanPro Healthcare"/>
    <n v="2"/>
    <n v="1450"/>
    <n v="6"/>
    <n v="6"/>
    <s v="No"/>
    <s v="No"/>
    <n v="2900"/>
    <s v="On Time"/>
  </r>
  <r>
    <n v="1001"/>
    <d v="2026-06-14T00:00:00"/>
    <s v="C002"/>
    <s v="Central Ohio Hospital"/>
    <x v="0"/>
    <s v="P001"/>
    <s v="X-Ray Detector"/>
    <x v="5"/>
    <s v="MedTech Systems"/>
    <n v="3"/>
    <n v="850"/>
    <n v="3"/>
    <n v="3"/>
    <s v="No"/>
    <s v="No"/>
    <n v="2550"/>
    <s v="On Time"/>
  </r>
  <r>
    <n v="1033"/>
    <d v="2026-06-18T00:00:00"/>
    <s v="C009"/>
    <s v="Pacific Care Center"/>
    <x v="3"/>
    <s v="P001"/>
    <s v="X-Ray Detector"/>
    <x v="5"/>
    <s v="MedTech Systems"/>
    <n v="5"/>
    <n v="850"/>
    <n v="3"/>
    <n v="2"/>
    <s v="No"/>
    <s v="No"/>
    <n v="4250"/>
    <s v="On Time"/>
  </r>
  <r>
    <n v="1130"/>
    <d v="2026-06-18T00:00:00"/>
    <s v="C011"/>
    <s v="Heartland Regional Medical"/>
    <x v="0"/>
    <s v="P013"/>
    <s v="Pulse Oximeter Sensor"/>
    <x v="3"/>
    <s v="VitalWorks"/>
    <n v="19"/>
    <n v="62"/>
    <n v="2"/>
    <n v="2"/>
    <s v="No"/>
    <s v="No"/>
    <n v="1178"/>
    <s v="On Time"/>
  </r>
  <r>
    <n v="1148"/>
    <d v="2026-06-18T00:00:00"/>
    <s v="C002"/>
    <s v="Central Ohio Hospital"/>
    <x v="0"/>
    <s v="P003"/>
    <s v="Ventilator Filter"/>
    <x v="2"/>
    <s v="AirMed"/>
    <n v="17"/>
    <n v="42.5"/>
    <n v="2"/>
    <n v="3"/>
    <s v="No"/>
    <s v="No"/>
    <n v="722.5"/>
    <s v="Late"/>
  </r>
  <r>
    <n v="1061"/>
    <d v="2026-06-20T00:00:00"/>
    <s v="C001"/>
    <s v="Lakeview Medical Center"/>
    <x v="0"/>
    <s v="P002"/>
    <s v="Patient Monitor Battery"/>
    <x v="3"/>
    <s v="VitalWorks"/>
    <n v="15"/>
    <n v="125"/>
    <n v="2"/>
    <n v="4"/>
    <s v="Yes"/>
    <s v="No"/>
    <n v="1875"/>
    <s v="Late"/>
  </r>
  <r>
    <n v="1122"/>
    <d v="2026-06-20T00:00:00"/>
    <s v="C004"/>
    <s v="Northeast Surgical Center"/>
    <x v="1"/>
    <s v="P010"/>
    <s v="Defibrillator Battery"/>
    <x v="4"/>
    <s v="RescueMed"/>
    <n v="1"/>
    <n v="265"/>
    <n v="2"/>
    <n v="3"/>
    <s v="Yes"/>
    <s v="No"/>
    <n v="265"/>
    <s v="Late"/>
  </r>
  <r>
    <n v="1045"/>
    <d v="2026-06-22T00:00:00"/>
    <s v="C004"/>
    <s v="Northeast Surgical Center"/>
    <x v="1"/>
    <s v="P006"/>
    <s v="ECG Lead Cable"/>
    <x v="3"/>
    <s v="VitalWorks"/>
    <n v="4"/>
    <n v="78"/>
    <n v="2"/>
    <n v="2"/>
    <s v="No"/>
    <s v="No"/>
    <n v="312"/>
    <s v="On Time"/>
  </r>
  <r>
    <n v="1143"/>
    <d v="2026-06-22T00:00:00"/>
    <s v="C006"/>
    <s v="Metro Health Network"/>
    <x v="1"/>
    <s v="P002"/>
    <s v="Patient Monitor Battery"/>
    <x v="3"/>
    <s v="VitalWorks"/>
    <n v="3"/>
    <n v="125"/>
    <n v="2"/>
    <n v="2"/>
    <s v="No"/>
    <s v="No"/>
    <n v="375"/>
    <s v="On Time"/>
  </r>
  <r>
    <n v="1050"/>
    <d v="2026-06-23T00:00:00"/>
    <s v="C005"/>
    <s v="Western Regional Hospital"/>
    <x v="3"/>
    <s v="P003"/>
    <s v="Ventilator Filter"/>
    <x v="2"/>
    <s v="AirMed"/>
    <n v="8"/>
    <n v="42.5"/>
    <n v="2"/>
    <n v="1"/>
    <s v="Yes"/>
    <s v="No"/>
    <n v="340"/>
    <s v="On Time"/>
  </r>
  <r>
    <n v="1115"/>
    <d v="2026-06-23T00:00:00"/>
    <s v="C007"/>
    <s v="Great Lakes Medical Center"/>
    <x v="0"/>
    <s v="P015"/>
    <s v="MRI Table Motor"/>
    <x v="5"/>
    <s v="ScanPro Healthcare"/>
    <n v="3"/>
    <n v="1450"/>
    <n v="6"/>
    <n v="7"/>
    <s v="No"/>
    <s v="No"/>
    <n v="4350"/>
    <s v="Late"/>
  </r>
  <r>
    <n v="1116"/>
    <d v="2026-06-23T00:00:00"/>
    <s v="C012"/>
    <s v="Sunrise Medical Pavilion"/>
    <x v="2"/>
    <s v="P010"/>
    <s v="Defibrillator Battery"/>
    <x v="4"/>
    <s v="RescueMed"/>
    <n v="7"/>
    <n v="265"/>
    <n v="2"/>
    <n v="2"/>
    <s v="No"/>
    <s v="Yes"/>
    <n v="1855"/>
    <s v="On Time"/>
  </r>
  <r>
    <n v="1121"/>
    <d v="2026-06-26T00:00:00"/>
    <s v="C006"/>
    <s v="Metro Health Network"/>
    <x v="1"/>
    <s v="P008"/>
    <s v="Oxygen Sensor"/>
    <x v="2"/>
    <s v="AirMed"/>
    <n v="6"/>
    <n v="160"/>
    <n v="2"/>
    <n v="3"/>
    <s v="Yes"/>
    <s v="No"/>
    <n v="960"/>
    <s v="Late"/>
  </r>
  <r>
    <n v="1109"/>
    <d v="2026-06-30T00:00:00"/>
    <s v="C005"/>
    <s v="Western Regional Hospital"/>
    <x v="3"/>
    <s v="P001"/>
    <s v="X-Ray Detector"/>
    <x v="5"/>
    <s v="MedTech Systems"/>
    <n v="4"/>
    <n v="850"/>
    <n v="3"/>
    <n v="4"/>
    <s v="No"/>
    <s v="No"/>
    <n v="3400"/>
    <s v="L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7A260-AA38-4A66-87D0-36E39FC2254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5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7"/>
  </rowFields>
  <rowItems count="7">
    <i>
      <x v="1"/>
    </i>
    <i>
      <x v="5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Sum of Revenue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A53AF-39E3-4DA8-A4A7-7C87F2DF88F4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7">
    <pivotField dataField="1" showAll="0"/>
    <pivotField numFmtId="1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4" baseItem="0"/>
    <dataField name="Average of ShippingDays" fld="1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E8128A-0022-4BEB-BB3F-4C617BDDFBBA}" name="Table1" displayName="Table1" ref="A1:Q151" totalsRowShown="0">
  <autoFilter ref="A1:Q151" xr:uid="{3EE8128A-0022-4BEB-BB3F-4C617BDDFBBA}"/>
  <tableColumns count="17">
    <tableColumn id="1" xr3:uid="{9B8E0011-6781-4139-9A44-8F844BE1AB82}" name="OrderID"/>
    <tableColumn id="2" xr3:uid="{16C1D808-5389-4983-A2E5-B1AC38267666}" name="OrderDate" dataDxfId="2"/>
    <tableColumn id="3" xr3:uid="{4897CCA7-E26E-4D05-891B-65119BE1B4F6}" name="CustomerID"/>
    <tableColumn id="4" xr3:uid="{0E0FDD0D-6DBE-4713-8B3C-B072E8F19B51}" name="CustomerName"/>
    <tableColumn id="5" xr3:uid="{1FC8C3D0-4570-4E4C-BF66-10085D7FA9B6}" name="Region"/>
    <tableColumn id="6" xr3:uid="{2490C00A-759B-4A38-8B6E-E99CC1923C6B}" name="ProductID"/>
    <tableColumn id="7" xr3:uid="{619612A0-D7DF-4F37-A40A-0C200DDADCF6}" name="PartName"/>
    <tableColumn id="8" xr3:uid="{CF50BD2E-4A30-4528-A661-C38298D0D343}" name="PartCategory"/>
    <tableColumn id="9" xr3:uid="{1946A51F-3645-48BF-A3C2-2CD4AC969AB7}" name="Manufacturer"/>
    <tableColumn id="10" xr3:uid="{0A1F4327-D28B-4F1D-971C-30CD072C10C4}" name="Quantity"/>
    <tableColumn id="11" xr3:uid="{FD38F87E-6539-4F49-BAC1-60BCD31AC5DC}" name="UnitPrice"/>
    <tableColumn id="12" xr3:uid="{E209D672-69C7-45AE-8173-B452208A1589}" name="ExpectedShippingDays"/>
    <tableColumn id="13" xr3:uid="{8FEC794C-CDAF-4263-B9D7-BD8978BA6C39}" name="ShippingDays"/>
    <tableColumn id="14" xr3:uid="{02554CDF-851B-4E0A-8493-0EE645AEA97B}" name="RushOrder"/>
    <tableColumn id="15" xr3:uid="{3EA11F9E-CAD9-4CE8-AFC4-D75955107E20}" name="Returned"/>
    <tableColumn id="16" xr3:uid="{EA1F5B72-5AA6-4A16-8C31-BF1EF6699CD1}" name="Revenue" dataDxfId="1">
      <calculatedColumnFormula>Table1[[#This Row],[Quantity]]*Table1[[#This Row],[UnitPrice]]</calculatedColumnFormula>
    </tableColumn>
    <tableColumn id="17" xr3:uid="{1E27B0D1-B448-4861-AAC9-20981F19EA41}" name="ShippingStatus" dataDxfId="0">
      <calculatedColumnFormula>IF(Table1[[#This Row],[ShippingDays]]&gt;Table1[[#This Row],[ExpectedShippingDays]],"Late","On Time")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7344-21F3-4969-A52F-A30AC28EAB0E}">
  <dimension ref="A3:B10"/>
  <sheetViews>
    <sheetView tabSelected="1" workbookViewId="0">
      <selection activeCell="J46" sqref="J46"/>
    </sheetView>
  </sheetViews>
  <sheetFormatPr defaultRowHeight="14.5" x14ac:dyDescent="0.35"/>
  <cols>
    <col min="1" max="1" width="13.36328125" bestFit="1" customWidth="1"/>
    <col min="2" max="2" width="14.36328125" bestFit="1" customWidth="1"/>
  </cols>
  <sheetData>
    <row r="3" spans="1:2" x14ac:dyDescent="0.35">
      <c r="A3" s="2" t="s">
        <v>90</v>
      </c>
      <c r="B3" t="s">
        <v>92</v>
      </c>
    </row>
    <row r="4" spans="1:2" x14ac:dyDescent="0.35">
      <c r="A4" s="3" t="s">
        <v>77</v>
      </c>
      <c r="B4" s="4">
        <v>75825</v>
      </c>
    </row>
    <row r="5" spans="1:2" x14ac:dyDescent="0.35">
      <c r="A5" s="3" t="s">
        <v>20</v>
      </c>
      <c r="B5" s="4">
        <v>44295</v>
      </c>
    </row>
    <row r="6" spans="1:2" x14ac:dyDescent="0.35">
      <c r="A6" s="3" t="s">
        <v>46</v>
      </c>
      <c r="B6" s="4">
        <v>32885</v>
      </c>
    </row>
    <row r="7" spans="1:2" x14ac:dyDescent="0.35">
      <c r="A7" s="3" t="s">
        <v>33</v>
      </c>
      <c r="B7" s="4">
        <v>32380</v>
      </c>
    </row>
    <row r="8" spans="1:2" x14ac:dyDescent="0.35">
      <c r="A8" s="3" t="s">
        <v>62</v>
      </c>
      <c r="B8" s="4">
        <v>12985</v>
      </c>
    </row>
    <row r="9" spans="1:2" x14ac:dyDescent="0.35">
      <c r="A9" s="3" t="s">
        <v>27</v>
      </c>
      <c r="B9" s="4">
        <v>10920</v>
      </c>
    </row>
    <row r="10" spans="1:2" x14ac:dyDescent="0.35">
      <c r="A10" s="3" t="s">
        <v>91</v>
      </c>
      <c r="B10" s="4">
        <v>209290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AC1E-B706-407A-B069-839199D4DE33}">
  <dimension ref="A3:C8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4.81640625" bestFit="1" customWidth="1"/>
    <col min="3" max="3" width="21.54296875" bestFit="1" customWidth="1"/>
  </cols>
  <sheetData>
    <row r="3" spans="1:3" x14ac:dyDescent="0.35">
      <c r="A3" s="2" t="s">
        <v>90</v>
      </c>
      <c r="B3" t="s">
        <v>93</v>
      </c>
      <c r="C3" t="s">
        <v>94</v>
      </c>
    </row>
    <row r="4" spans="1:3" x14ac:dyDescent="0.35">
      <c r="A4" s="3" t="s">
        <v>17</v>
      </c>
      <c r="B4" s="4">
        <v>52</v>
      </c>
      <c r="C4" s="4">
        <v>3.2884615384615383</v>
      </c>
    </row>
    <row r="5" spans="1:3" x14ac:dyDescent="0.35">
      <c r="A5" s="3" t="s">
        <v>38</v>
      </c>
      <c r="B5" s="4">
        <v>35</v>
      </c>
      <c r="C5" s="4">
        <v>3.2285714285714286</v>
      </c>
    </row>
    <row r="6" spans="1:3" x14ac:dyDescent="0.35">
      <c r="A6" s="3" t="s">
        <v>41</v>
      </c>
      <c r="B6" s="4">
        <v>38</v>
      </c>
      <c r="C6" s="4">
        <v>3.3947368421052633</v>
      </c>
    </row>
    <row r="7" spans="1:3" x14ac:dyDescent="0.35">
      <c r="A7" s="3" t="s">
        <v>72</v>
      </c>
      <c r="B7" s="4">
        <v>25</v>
      </c>
      <c r="C7" s="4">
        <v>3.52</v>
      </c>
    </row>
    <row r="8" spans="1:3" x14ac:dyDescent="0.35">
      <c r="A8" s="3" t="s">
        <v>91</v>
      </c>
      <c r="B8" s="4">
        <v>150</v>
      </c>
      <c r="C8" s="4">
        <v>3.34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F9FD-E6AC-4A9A-8B00-8C0DE2F1A88E}">
  <dimension ref="A1:Q151"/>
  <sheetViews>
    <sheetView topLeftCell="A2" workbookViewId="0">
      <selection activeCell="F7" sqref="F7"/>
    </sheetView>
  </sheetViews>
  <sheetFormatPr defaultRowHeight="14.5" x14ac:dyDescent="0.35"/>
  <cols>
    <col min="1" max="1" width="9.26953125" customWidth="1"/>
    <col min="2" max="2" width="11.36328125" customWidth="1"/>
    <col min="3" max="3" width="12.81640625" customWidth="1"/>
    <col min="4" max="4" width="15.90625" customWidth="1"/>
    <col min="6" max="6" width="11.1796875" customWidth="1"/>
    <col min="7" max="7" width="11.08984375" customWidth="1"/>
    <col min="8" max="8" width="13.54296875" customWidth="1"/>
    <col min="9" max="9" width="14.08984375" customWidth="1"/>
    <col min="10" max="10" width="10" customWidth="1"/>
    <col min="11" max="11" width="10.6328125" customWidth="1"/>
    <col min="12" max="12" width="22.08984375" customWidth="1"/>
    <col min="13" max="13" width="14.36328125" customWidth="1"/>
    <col min="14" max="14" width="11.7265625" customWidth="1"/>
    <col min="15" max="15" width="10.54296875" customWidth="1"/>
    <col min="16" max="16" width="10.453125" customWidth="1"/>
    <col min="17" max="17" width="15.453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88</v>
      </c>
      <c r="Q1" t="s">
        <v>89</v>
      </c>
    </row>
    <row r="2" spans="1:17" x14ac:dyDescent="0.35">
      <c r="A2">
        <v>1026</v>
      </c>
      <c r="B2" s="1">
        <v>46024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</v>
      </c>
      <c r="K2">
        <v>310</v>
      </c>
      <c r="L2">
        <v>4</v>
      </c>
      <c r="M2">
        <v>5</v>
      </c>
      <c r="N2" t="s">
        <v>22</v>
      </c>
      <c r="O2" t="s">
        <v>22</v>
      </c>
      <c r="P2">
        <f>Table1[[#This Row],[Quantity]]*Table1[[#This Row],[UnitPrice]]</f>
        <v>2480</v>
      </c>
      <c r="Q2" t="str">
        <f>IF(Table1[[#This Row],[ShippingDays]]&gt;Table1[[#This Row],[ExpectedShippingDays]],"Late","On Time")</f>
        <v>Late</v>
      </c>
    </row>
    <row r="3" spans="1:17" x14ac:dyDescent="0.35">
      <c r="A3">
        <v>1013</v>
      </c>
      <c r="B3" s="1">
        <v>46026</v>
      </c>
      <c r="C3" t="s">
        <v>23</v>
      </c>
      <c r="D3" t="s">
        <v>24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>
        <v>5</v>
      </c>
      <c r="K3">
        <v>390</v>
      </c>
      <c r="L3">
        <v>3</v>
      </c>
      <c r="M3">
        <v>3</v>
      </c>
      <c r="N3" t="s">
        <v>22</v>
      </c>
      <c r="O3" t="s">
        <v>22</v>
      </c>
      <c r="P3">
        <f>Table1[[#This Row],[Quantity]]*Table1[[#This Row],[UnitPrice]]</f>
        <v>1950</v>
      </c>
      <c r="Q3" t="str">
        <f>IF(Table1[[#This Row],[ShippingDays]]&gt;Table1[[#This Row],[ExpectedShippingDays]],"Late","On Time")</f>
        <v>On Time</v>
      </c>
    </row>
    <row r="4" spans="1:17" x14ac:dyDescent="0.35">
      <c r="A4">
        <v>1025</v>
      </c>
      <c r="B4" s="1">
        <v>46027</v>
      </c>
      <c r="C4" t="s">
        <v>29</v>
      </c>
      <c r="D4" t="s">
        <v>30</v>
      </c>
      <c r="E4" t="s">
        <v>17</v>
      </c>
      <c r="F4" t="s">
        <v>31</v>
      </c>
      <c r="G4" t="s">
        <v>32</v>
      </c>
      <c r="H4" t="s">
        <v>33</v>
      </c>
      <c r="I4" t="s">
        <v>34</v>
      </c>
      <c r="J4">
        <v>4</v>
      </c>
      <c r="K4">
        <v>285</v>
      </c>
      <c r="L4">
        <v>3</v>
      </c>
      <c r="M4">
        <v>3</v>
      </c>
      <c r="N4" t="s">
        <v>35</v>
      </c>
      <c r="O4" t="s">
        <v>22</v>
      </c>
      <c r="P4">
        <f>Table1[[#This Row],[Quantity]]*Table1[[#This Row],[UnitPrice]]</f>
        <v>1140</v>
      </c>
      <c r="Q4" t="str">
        <f>IF(Table1[[#This Row],[ShippingDays]]&gt;Table1[[#This Row],[ExpectedShippingDays]],"Late","On Time")</f>
        <v>On Time</v>
      </c>
    </row>
    <row r="5" spans="1:17" x14ac:dyDescent="0.35">
      <c r="A5">
        <v>1078</v>
      </c>
      <c r="B5" s="1">
        <v>46027</v>
      </c>
      <c r="C5" t="s">
        <v>36</v>
      </c>
      <c r="D5" t="s">
        <v>37</v>
      </c>
      <c r="E5" t="s">
        <v>38</v>
      </c>
      <c r="F5" t="s">
        <v>18</v>
      </c>
      <c r="G5" t="s">
        <v>19</v>
      </c>
      <c r="H5" t="s">
        <v>20</v>
      </c>
      <c r="I5" t="s">
        <v>21</v>
      </c>
      <c r="J5">
        <v>8</v>
      </c>
      <c r="K5">
        <v>310</v>
      </c>
      <c r="L5">
        <v>4</v>
      </c>
      <c r="M5">
        <v>4</v>
      </c>
      <c r="N5" t="s">
        <v>22</v>
      </c>
      <c r="O5" t="s">
        <v>22</v>
      </c>
      <c r="P5">
        <f>Table1[[#This Row],[Quantity]]*Table1[[#This Row],[UnitPrice]]</f>
        <v>2480</v>
      </c>
      <c r="Q5" t="str">
        <f>IF(Table1[[#This Row],[ShippingDays]]&gt;Table1[[#This Row],[ExpectedShippingDays]],"Late","On Time")</f>
        <v>On Time</v>
      </c>
    </row>
    <row r="6" spans="1:17" x14ac:dyDescent="0.35">
      <c r="A6">
        <v>1125</v>
      </c>
      <c r="B6" s="1">
        <v>46028</v>
      </c>
      <c r="C6" t="s">
        <v>39</v>
      </c>
      <c r="D6" t="s">
        <v>40</v>
      </c>
      <c r="E6" t="s">
        <v>41</v>
      </c>
      <c r="F6" t="s">
        <v>18</v>
      </c>
      <c r="G6" t="s">
        <v>19</v>
      </c>
      <c r="H6" t="s">
        <v>20</v>
      </c>
      <c r="I6" t="s">
        <v>21</v>
      </c>
      <c r="J6">
        <v>3</v>
      </c>
      <c r="K6">
        <v>310</v>
      </c>
      <c r="L6">
        <v>4</v>
      </c>
      <c r="M6">
        <v>7</v>
      </c>
      <c r="N6" t="s">
        <v>22</v>
      </c>
      <c r="O6" t="s">
        <v>22</v>
      </c>
      <c r="P6">
        <f>Table1[[#This Row],[Quantity]]*Table1[[#This Row],[UnitPrice]]</f>
        <v>930</v>
      </c>
      <c r="Q6" t="str">
        <f>IF(Table1[[#This Row],[ShippingDays]]&gt;Table1[[#This Row],[ExpectedShippingDays]],"Late","On Time")</f>
        <v>Late</v>
      </c>
    </row>
    <row r="7" spans="1:17" x14ac:dyDescent="0.35">
      <c r="A7">
        <v>1009</v>
      </c>
      <c r="B7" s="1">
        <v>46032</v>
      </c>
      <c r="C7" t="s">
        <v>42</v>
      </c>
      <c r="D7" t="s">
        <v>43</v>
      </c>
      <c r="E7" t="s">
        <v>38</v>
      </c>
      <c r="F7" t="s">
        <v>44</v>
      </c>
      <c r="G7" t="s">
        <v>45</v>
      </c>
      <c r="H7" t="s">
        <v>46</v>
      </c>
      <c r="I7" t="s">
        <v>47</v>
      </c>
      <c r="J7">
        <v>4</v>
      </c>
      <c r="K7">
        <v>78</v>
      </c>
      <c r="L7">
        <v>2</v>
      </c>
      <c r="M7">
        <v>3</v>
      </c>
      <c r="N7" t="s">
        <v>22</v>
      </c>
      <c r="O7" t="s">
        <v>22</v>
      </c>
      <c r="P7">
        <f>Table1[[#This Row],[Quantity]]*Table1[[#This Row],[UnitPrice]]</f>
        <v>312</v>
      </c>
      <c r="Q7" t="str">
        <f>IF(Table1[[#This Row],[ShippingDays]]&gt;Table1[[#This Row],[ExpectedShippingDays]],"Late","On Time")</f>
        <v>Late</v>
      </c>
    </row>
    <row r="8" spans="1:17" x14ac:dyDescent="0.35">
      <c r="A8">
        <v>1038</v>
      </c>
      <c r="B8" s="1">
        <v>46034</v>
      </c>
      <c r="C8" t="s">
        <v>42</v>
      </c>
      <c r="D8" t="s">
        <v>43</v>
      </c>
      <c r="E8" t="s">
        <v>38</v>
      </c>
      <c r="F8" t="s">
        <v>48</v>
      </c>
      <c r="G8" t="s">
        <v>49</v>
      </c>
      <c r="H8" t="s">
        <v>33</v>
      </c>
      <c r="I8" t="s">
        <v>34</v>
      </c>
      <c r="J8">
        <v>9</v>
      </c>
      <c r="K8">
        <v>42.5</v>
      </c>
      <c r="L8">
        <v>2</v>
      </c>
      <c r="M8">
        <v>2</v>
      </c>
      <c r="N8" t="s">
        <v>22</v>
      </c>
      <c r="O8" t="s">
        <v>22</v>
      </c>
      <c r="P8">
        <f>Table1[[#This Row],[Quantity]]*Table1[[#This Row],[UnitPrice]]</f>
        <v>382.5</v>
      </c>
      <c r="Q8" t="str">
        <f>IF(Table1[[#This Row],[ShippingDays]]&gt;Table1[[#This Row],[ExpectedShippingDays]],"Late","On Time")</f>
        <v>On Time</v>
      </c>
    </row>
    <row r="9" spans="1:17" x14ac:dyDescent="0.35">
      <c r="A9">
        <v>1067</v>
      </c>
      <c r="B9" s="1">
        <v>46034</v>
      </c>
      <c r="C9" t="s">
        <v>42</v>
      </c>
      <c r="D9" t="s">
        <v>43</v>
      </c>
      <c r="E9" t="s">
        <v>38</v>
      </c>
      <c r="F9" t="s">
        <v>50</v>
      </c>
      <c r="G9" t="s">
        <v>51</v>
      </c>
      <c r="H9" t="s">
        <v>33</v>
      </c>
      <c r="I9" t="s">
        <v>34</v>
      </c>
      <c r="J9">
        <v>6</v>
      </c>
      <c r="K9">
        <v>160</v>
      </c>
      <c r="L9">
        <v>2</v>
      </c>
      <c r="M9">
        <v>3</v>
      </c>
      <c r="N9" t="s">
        <v>35</v>
      </c>
      <c r="O9" t="s">
        <v>22</v>
      </c>
      <c r="P9">
        <f>Table1[[#This Row],[Quantity]]*Table1[[#This Row],[UnitPrice]]</f>
        <v>960</v>
      </c>
      <c r="Q9" t="str">
        <f>IF(Table1[[#This Row],[ShippingDays]]&gt;Table1[[#This Row],[ExpectedShippingDays]],"Late","On Time")</f>
        <v>Late</v>
      </c>
    </row>
    <row r="10" spans="1:17" x14ac:dyDescent="0.35">
      <c r="A10">
        <v>1099</v>
      </c>
      <c r="B10" s="1">
        <v>46035</v>
      </c>
      <c r="C10" t="s">
        <v>42</v>
      </c>
      <c r="D10" t="s">
        <v>43</v>
      </c>
      <c r="E10" t="s">
        <v>38</v>
      </c>
      <c r="F10" t="s">
        <v>52</v>
      </c>
      <c r="G10" t="s">
        <v>53</v>
      </c>
      <c r="H10" t="s">
        <v>20</v>
      </c>
      <c r="I10" t="s">
        <v>21</v>
      </c>
      <c r="J10">
        <v>4</v>
      </c>
      <c r="K10">
        <v>540</v>
      </c>
      <c r="L10">
        <v>4</v>
      </c>
      <c r="M10">
        <v>5</v>
      </c>
      <c r="N10" t="s">
        <v>22</v>
      </c>
      <c r="O10" t="s">
        <v>22</v>
      </c>
      <c r="P10">
        <f>Table1[[#This Row],[Quantity]]*Table1[[#This Row],[UnitPrice]]</f>
        <v>2160</v>
      </c>
      <c r="Q10" t="str">
        <f>IF(Table1[[#This Row],[ShippingDays]]&gt;Table1[[#This Row],[ExpectedShippingDays]],"Late","On Time")</f>
        <v>Late</v>
      </c>
    </row>
    <row r="11" spans="1:17" x14ac:dyDescent="0.35">
      <c r="A11">
        <v>1057</v>
      </c>
      <c r="B11" s="1">
        <v>46039</v>
      </c>
      <c r="C11" t="s">
        <v>54</v>
      </c>
      <c r="D11" t="s">
        <v>55</v>
      </c>
      <c r="E11" t="s">
        <v>38</v>
      </c>
      <c r="F11" t="s">
        <v>56</v>
      </c>
      <c r="G11" t="s">
        <v>57</v>
      </c>
      <c r="H11" t="s">
        <v>46</v>
      </c>
      <c r="I11" t="s">
        <v>47</v>
      </c>
      <c r="J11">
        <v>14</v>
      </c>
      <c r="K11">
        <v>62</v>
      </c>
      <c r="L11">
        <v>2</v>
      </c>
      <c r="M11">
        <v>4</v>
      </c>
      <c r="N11" t="s">
        <v>22</v>
      </c>
      <c r="O11" t="s">
        <v>22</v>
      </c>
      <c r="P11">
        <f>Table1[[#This Row],[Quantity]]*Table1[[#This Row],[UnitPrice]]</f>
        <v>868</v>
      </c>
      <c r="Q11" t="str">
        <f>IF(Table1[[#This Row],[ShippingDays]]&gt;Table1[[#This Row],[ExpectedShippingDays]],"Late","On Time")</f>
        <v>Late</v>
      </c>
    </row>
    <row r="12" spans="1:17" x14ac:dyDescent="0.35">
      <c r="A12">
        <v>1006</v>
      </c>
      <c r="B12" s="1">
        <v>46041</v>
      </c>
      <c r="C12" t="s">
        <v>58</v>
      </c>
      <c r="D12" t="s">
        <v>59</v>
      </c>
      <c r="E12" t="s">
        <v>17</v>
      </c>
      <c r="F12" t="s">
        <v>60</v>
      </c>
      <c r="G12" t="s">
        <v>61</v>
      </c>
      <c r="H12" t="s">
        <v>62</v>
      </c>
      <c r="I12" t="s">
        <v>63</v>
      </c>
      <c r="J12">
        <v>5</v>
      </c>
      <c r="K12">
        <v>265</v>
      </c>
      <c r="L12">
        <v>2</v>
      </c>
      <c r="M12">
        <v>2</v>
      </c>
      <c r="N12" t="s">
        <v>22</v>
      </c>
      <c r="O12" t="s">
        <v>22</v>
      </c>
      <c r="P12">
        <f>Table1[[#This Row],[Quantity]]*Table1[[#This Row],[UnitPrice]]</f>
        <v>1325</v>
      </c>
      <c r="Q12" t="str">
        <f>IF(Table1[[#This Row],[ShippingDays]]&gt;Table1[[#This Row],[ExpectedShippingDays]],"Late","On Time")</f>
        <v>On Time</v>
      </c>
    </row>
    <row r="13" spans="1:17" x14ac:dyDescent="0.35">
      <c r="A13">
        <v>1031</v>
      </c>
      <c r="B13" s="1">
        <v>46042</v>
      </c>
      <c r="C13" t="s">
        <v>58</v>
      </c>
      <c r="D13" t="s">
        <v>59</v>
      </c>
      <c r="E13" t="s">
        <v>17</v>
      </c>
      <c r="F13" t="s">
        <v>64</v>
      </c>
      <c r="G13" t="s">
        <v>65</v>
      </c>
      <c r="H13" t="s">
        <v>20</v>
      </c>
      <c r="I13" t="s">
        <v>21</v>
      </c>
      <c r="J13">
        <v>20</v>
      </c>
      <c r="K13">
        <v>95</v>
      </c>
      <c r="L13">
        <v>3</v>
      </c>
      <c r="M13">
        <v>2</v>
      </c>
      <c r="N13" t="s">
        <v>22</v>
      </c>
      <c r="O13" t="s">
        <v>22</v>
      </c>
      <c r="P13">
        <f>Table1[[#This Row],[Quantity]]*Table1[[#This Row],[UnitPrice]]</f>
        <v>1900</v>
      </c>
      <c r="Q13" t="str">
        <f>IF(Table1[[#This Row],[ShippingDays]]&gt;Table1[[#This Row],[ExpectedShippingDays]],"Late","On Time")</f>
        <v>On Time</v>
      </c>
    </row>
    <row r="14" spans="1:17" x14ac:dyDescent="0.35">
      <c r="A14">
        <v>1101</v>
      </c>
      <c r="B14" s="1">
        <v>46043</v>
      </c>
      <c r="C14" t="s">
        <v>66</v>
      </c>
      <c r="D14" t="s">
        <v>67</v>
      </c>
      <c r="E14" t="s">
        <v>41</v>
      </c>
      <c r="F14" t="s">
        <v>52</v>
      </c>
      <c r="G14" t="s">
        <v>53</v>
      </c>
      <c r="H14" t="s">
        <v>20</v>
      </c>
      <c r="I14" t="s">
        <v>21</v>
      </c>
      <c r="J14">
        <v>3</v>
      </c>
      <c r="K14">
        <v>540</v>
      </c>
      <c r="L14">
        <v>4</v>
      </c>
      <c r="M14">
        <v>4</v>
      </c>
      <c r="N14" t="s">
        <v>22</v>
      </c>
      <c r="O14" t="s">
        <v>22</v>
      </c>
      <c r="P14">
        <f>Table1[[#This Row],[Quantity]]*Table1[[#This Row],[UnitPrice]]</f>
        <v>1620</v>
      </c>
      <c r="Q14" t="str">
        <f>IF(Table1[[#This Row],[ShippingDays]]&gt;Table1[[#This Row],[ExpectedShippingDays]],"Late","On Time")</f>
        <v>On Time</v>
      </c>
    </row>
    <row r="15" spans="1:17" x14ac:dyDescent="0.35">
      <c r="A15">
        <v>1080</v>
      </c>
      <c r="B15" s="1">
        <v>46045</v>
      </c>
      <c r="C15" t="s">
        <v>54</v>
      </c>
      <c r="D15" t="s">
        <v>55</v>
      </c>
      <c r="E15" t="s">
        <v>38</v>
      </c>
      <c r="F15" t="s">
        <v>68</v>
      </c>
      <c r="G15" t="s">
        <v>69</v>
      </c>
      <c r="H15" t="s">
        <v>46</v>
      </c>
      <c r="I15" t="s">
        <v>47</v>
      </c>
      <c r="J15">
        <v>15</v>
      </c>
      <c r="K15">
        <v>125</v>
      </c>
      <c r="L15">
        <v>2</v>
      </c>
      <c r="M15">
        <v>4</v>
      </c>
      <c r="N15" t="s">
        <v>22</v>
      </c>
      <c r="O15" t="s">
        <v>22</v>
      </c>
      <c r="P15">
        <f>Table1[[#This Row],[Quantity]]*Table1[[#This Row],[UnitPrice]]</f>
        <v>1875</v>
      </c>
      <c r="Q15" t="str">
        <f>IF(Table1[[#This Row],[ShippingDays]]&gt;Table1[[#This Row],[ExpectedShippingDays]],"Late","On Time")</f>
        <v>Late</v>
      </c>
    </row>
    <row r="16" spans="1:17" x14ac:dyDescent="0.35">
      <c r="A16">
        <v>1002</v>
      </c>
      <c r="B16" s="1">
        <v>46046</v>
      </c>
      <c r="C16" t="s">
        <v>36</v>
      </c>
      <c r="D16" t="s">
        <v>37</v>
      </c>
      <c r="E16" t="s">
        <v>38</v>
      </c>
      <c r="F16" t="s">
        <v>44</v>
      </c>
      <c r="G16" t="s">
        <v>45</v>
      </c>
      <c r="H16" t="s">
        <v>46</v>
      </c>
      <c r="I16" t="s">
        <v>47</v>
      </c>
      <c r="J16">
        <v>2</v>
      </c>
      <c r="K16">
        <v>78</v>
      </c>
      <c r="L16">
        <v>2</v>
      </c>
      <c r="M16">
        <v>3</v>
      </c>
      <c r="N16" t="s">
        <v>35</v>
      </c>
      <c r="O16" t="s">
        <v>22</v>
      </c>
      <c r="P16">
        <f>Table1[[#This Row],[Quantity]]*Table1[[#This Row],[UnitPrice]]</f>
        <v>156</v>
      </c>
      <c r="Q16" t="str">
        <f>IF(Table1[[#This Row],[ShippingDays]]&gt;Table1[[#This Row],[ExpectedShippingDays]],"Late","On Time")</f>
        <v>Late</v>
      </c>
    </row>
    <row r="17" spans="1:17" x14ac:dyDescent="0.35">
      <c r="A17">
        <v>1070</v>
      </c>
      <c r="B17" s="1">
        <v>46046</v>
      </c>
      <c r="C17" t="s">
        <v>70</v>
      </c>
      <c r="D17" t="s">
        <v>71</v>
      </c>
      <c r="E17" t="s">
        <v>72</v>
      </c>
      <c r="F17" t="s">
        <v>56</v>
      </c>
      <c r="G17" t="s">
        <v>57</v>
      </c>
      <c r="H17" t="s">
        <v>46</v>
      </c>
      <c r="I17" t="s">
        <v>47</v>
      </c>
      <c r="J17">
        <v>9</v>
      </c>
      <c r="K17">
        <v>62</v>
      </c>
      <c r="L17">
        <v>2</v>
      </c>
      <c r="M17">
        <v>3</v>
      </c>
      <c r="N17" t="s">
        <v>22</v>
      </c>
      <c r="O17" t="s">
        <v>35</v>
      </c>
      <c r="P17">
        <f>Table1[[#This Row],[Quantity]]*Table1[[#This Row],[UnitPrice]]</f>
        <v>558</v>
      </c>
      <c r="Q17" t="str">
        <f>IF(Table1[[#This Row],[ShippingDays]]&gt;Table1[[#This Row],[ExpectedShippingDays]],"Late","On Time")</f>
        <v>Late</v>
      </c>
    </row>
    <row r="18" spans="1:17" x14ac:dyDescent="0.35">
      <c r="A18">
        <v>1138</v>
      </c>
      <c r="B18" s="1">
        <v>46047</v>
      </c>
      <c r="C18" t="s">
        <v>73</v>
      </c>
      <c r="D18" t="s">
        <v>74</v>
      </c>
      <c r="E18" t="s">
        <v>41</v>
      </c>
      <c r="F18" t="s">
        <v>50</v>
      </c>
      <c r="G18" t="s">
        <v>51</v>
      </c>
      <c r="H18" t="s">
        <v>33</v>
      </c>
      <c r="I18" t="s">
        <v>34</v>
      </c>
      <c r="J18">
        <v>7</v>
      </c>
      <c r="K18">
        <v>160</v>
      </c>
      <c r="L18">
        <v>2</v>
      </c>
      <c r="M18">
        <v>2</v>
      </c>
      <c r="N18" t="s">
        <v>22</v>
      </c>
      <c r="O18" t="s">
        <v>22</v>
      </c>
      <c r="P18">
        <f>Table1[[#This Row],[Quantity]]*Table1[[#This Row],[UnitPrice]]</f>
        <v>1120</v>
      </c>
      <c r="Q18" t="str">
        <f>IF(Table1[[#This Row],[ShippingDays]]&gt;Table1[[#This Row],[ExpectedShippingDays]],"Late","On Time")</f>
        <v>On Time</v>
      </c>
    </row>
    <row r="19" spans="1:17" x14ac:dyDescent="0.35">
      <c r="A19">
        <v>1104</v>
      </c>
      <c r="B19" s="1">
        <v>46049</v>
      </c>
      <c r="C19" t="s">
        <v>66</v>
      </c>
      <c r="D19" t="s">
        <v>67</v>
      </c>
      <c r="E19" t="s">
        <v>41</v>
      </c>
      <c r="F19" t="s">
        <v>48</v>
      </c>
      <c r="G19" t="s">
        <v>49</v>
      </c>
      <c r="H19" t="s">
        <v>33</v>
      </c>
      <c r="I19" t="s">
        <v>34</v>
      </c>
      <c r="J19">
        <v>11</v>
      </c>
      <c r="K19">
        <v>42.5</v>
      </c>
      <c r="L19">
        <v>2</v>
      </c>
      <c r="M19">
        <v>2</v>
      </c>
      <c r="N19" t="s">
        <v>22</v>
      </c>
      <c r="O19" t="s">
        <v>22</v>
      </c>
      <c r="P19">
        <f>Table1[[#This Row],[Quantity]]*Table1[[#This Row],[UnitPrice]]</f>
        <v>467.5</v>
      </c>
      <c r="Q19" t="str">
        <f>IF(Table1[[#This Row],[ShippingDays]]&gt;Table1[[#This Row],[ExpectedShippingDays]],"Late","On Time")</f>
        <v>On Time</v>
      </c>
    </row>
    <row r="20" spans="1:17" x14ac:dyDescent="0.35">
      <c r="A20">
        <v>1034</v>
      </c>
      <c r="B20" s="1">
        <v>46051</v>
      </c>
      <c r="C20" t="s">
        <v>73</v>
      </c>
      <c r="D20" t="s">
        <v>74</v>
      </c>
      <c r="E20" t="s">
        <v>41</v>
      </c>
      <c r="F20" t="s">
        <v>50</v>
      </c>
      <c r="G20" t="s">
        <v>51</v>
      </c>
      <c r="H20" t="s">
        <v>33</v>
      </c>
      <c r="I20" t="s">
        <v>34</v>
      </c>
      <c r="J20">
        <v>5</v>
      </c>
      <c r="K20">
        <v>160</v>
      </c>
      <c r="L20">
        <v>2</v>
      </c>
      <c r="M20">
        <v>2</v>
      </c>
      <c r="N20" t="s">
        <v>22</v>
      </c>
      <c r="O20" t="s">
        <v>22</v>
      </c>
      <c r="P20">
        <f>Table1[[#This Row],[Quantity]]*Table1[[#This Row],[UnitPrice]]</f>
        <v>800</v>
      </c>
      <c r="Q20" t="str">
        <f>IF(Table1[[#This Row],[ShippingDays]]&gt;Table1[[#This Row],[ExpectedShippingDays]],"Late","On Time")</f>
        <v>On Time</v>
      </c>
    </row>
    <row r="21" spans="1:17" x14ac:dyDescent="0.35">
      <c r="A21">
        <v>1052</v>
      </c>
      <c r="B21" s="1">
        <v>46051</v>
      </c>
      <c r="C21" t="s">
        <v>15</v>
      </c>
      <c r="D21" t="s">
        <v>16</v>
      </c>
      <c r="E21" t="s">
        <v>17</v>
      </c>
      <c r="F21" t="s">
        <v>48</v>
      </c>
      <c r="G21" t="s">
        <v>49</v>
      </c>
      <c r="H21" t="s">
        <v>33</v>
      </c>
      <c r="I21" t="s">
        <v>34</v>
      </c>
      <c r="J21">
        <v>18</v>
      </c>
      <c r="K21">
        <v>42.5</v>
      </c>
      <c r="L21">
        <v>2</v>
      </c>
      <c r="M21">
        <v>3</v>
      </c>
      <c r="N21" t="s">
        <v>22</v>
      </c>
      <c r="O21" t="s">
        <v>22</v>
      </c>
      <c r="P21">
        <f>Table1[[#This Row],[Quantity]]*Table1[[#This Row],[UnitPrice]]</f>
        <v>765</v>
      </c>
      <c r="Q21" t="str">
        <f>IF(Table1[[#This Row],[ShippingDays]]&gt;Table1[[#This Row],[ExpectedShippingDays]],"Late","On Time")</f>
        <v>Late</v>
      </c>
    </row>
    <row r="22" spans="1:17" x14ac:dyDescent="0.35">
      <c r="A22">
        <v>1065</v>
      </c>
      <c r="B22" s="1">
        <v>46053</v>
      </c>
      <c r="C22" t="s">
        <v>39</v>
      </c>
      <c r="D22" t="s">
        <v>40</v>
      </c>
      <c r="E22" t="s">
        <v>41</v>
      </c>
      <c r="F22" t="s">
        <v>75</v>
      </c>
      <c r="G22" t="s">
        <v>76</v>
      </c>
      <c r="H22" t="s">
        <v>77</v>
      </c>
      <c r="I22" t="s">
        <v>78</v>
      </c>
      <c r="J22">
        <v>1</v>
      </c>
      <c r="K22">
        <v>1450</v>
      </c>
      <c r="L22">
        <v>6</v>
      </c>
      <c r="M22">
        <v>6</v>
      </c>
      <c r="N22" t="s">
        <v>22</v>
      </c>
      <c r="O22" t="s">
        <v>22</v>
      </c>
      <c r="P22">
        <f>Table1[[#This Row],[Quantity]]*Table1[[#This Row],[UnitPrice]]</f>
        <v>1450</v>
      </c>
      <c r="Q22" t="str">
        <f>IF(Table1[[#This Row],[ShippingDays]]&gt;Table1[[#This Row],[ExpectedShippingDays]],"Late","On Time")</f>
        <v>On Time</v>
      </c>
    </row>
    <row r="23" spans="1:17" x14ac:dyDescent="0.35">
      <c r="A23">
        <v>1079</v>
      </c>
      <c r="B23" s="1">
        <v>46053</v>
      </c>
      <c r="C23" t="s">
        <v>29</v>
      </c>
      <c r="D23" t="s">
        <v>30</v>
      </c>
      <c r="E23" t="s">
        <v>17</v>
      </c>
      <c r="F23" t="s">
        <v>44</v>
      </c>
      <c r="G23" t="s">
        <v>45</v>
      </c>
      <c r="H23" t="s">
        <v>46</v>
      </c>
      <c r="I23" t="s">
        <v>47</v>
      </c>
      <c r="J23">
        <v>4</v>
      </c>
      <c r="K23">
        <v>78</v>
      </c>
      <c r="L23">
        <v>2</v>
      </c>
      <c r="M23">
        <v>2</v>
      </c>
      <c r="N23" t="s">
        <v>22</v>
      </c>
      <c r="O23" t="s">
        <v>22</v>
      </c>
      <c r="P23">
        <f>Table1[[#This Row],[Quantity]]*Table1[[#This Row],[UnitPrice]]</f>
        <v>312</v>
      </c>
      <c r="Q23" t="str">
        <f>IF(Table1[[#This Row],[ShippingDays]]&gt;Table1[[#This Row],[ExpectedShippingDays]],"Late","On Time")</f>
        <v>On Time</v>
      </c>
    </row>
    <row r="24" spans="1:17" x14ac:dyDescent="0.35">
      <c r="A24">
        <v>1091</v>
      </c>
      <c r="B24" s="1">
        <v>46053</v>
      </c>
      <c r="C24" t="s">
        <v>15</v>
      </c>
      <c r="D24" t="s">
        <v>16</v>
      </c>
      <c r="E24" t="s">
        <v>17</v>
      </c>
      <c r="F24" t="s">
        <v>56</v>
      </c>
      <c r="G24" t="s">
        <v>57</v>
      </c>
      <c r="H24" t="s">
        <v>46</v>
      </c>
      <c r="I24" t="s">
        <v>47</v>
      </c>
      <c r="J24">
        <v>2</v>
      </c>
      <c r="K24">
        <v>62</v>
      </c>
      <c r="L24">
        <v>2</v>
      </c>
      <c r="M24">
        <v>4</v>
      </c>
      <c r="N24" t="s">
        <v>22</v>
      </c>
      <c r="O24" t="s">
        <v>22</v>
      </c>
      <c r="P24">
        <f>Table1[[#This Row],[Quantity]]*Table1[[#This Row],[UnitPrice]]</f>
        <v>124</v>
      </c>
      <c r="Q24" t="str">
        <f>IF(Table1[[#This Row],[ShippingDays]]&gt;Table1[[#This Row],[ExpectedShippingDays]],"Late","On Time")</f>
        <v>Late</v>
      </c>
    </row>
    <row r="25" spans="1:17" x14ac:dyDescent="0.35">
      <c r="A25">
        <v>1064</v>
      </c>
      <c r="B25" s="1">
        <v>46056</v>
      </c>
      <c r="C25" t="s">
        <v>66</v>
      </c>
      <c r="D25" t="s">
        <v>67</v>
      </c>
      <c r="E25" t="s">
        <v>41</v>
      </c>
      <c r="F25" t="s">
        <v>60</v>
      </c>
      <c r="G25" t="s">
        <v>61</v>
      </c>
      <c r="H25" t="s">
        <v>62</v>
      </c>
      <c r="I25" t="s">
        <v>63</v>
      </c>
      <c r="J25">
        <v>4</v>
      </c>
      <c r="K25">
        <v>265</v>
      </c>
      <c r="L25">
        <v>2</v>
      </c>
      <c r="M25">
        <v>2</v>
      </c>
      <c r="N25" t="s">
        <v>22</v>
      </c>
      <c r="O25" t="s">
        <v>22</v>
      </c>
      <c r="P25">
        <f>Table1[[#This Row],[Quantity]]*Table1[[#This Row],[UnitPrice]]</f>
        <v>1060</v>
      </c>
      <c r="Q25" t="str">
        <f>IF(Table1[[#This Row],[ShippingDays]]&gt;Table1[[#This Row],[ExpectedShippingDays]],"Late","On Time")</f>
        <v>On Time</v>
      </c>
    </row>
    <row r="26" spans="1:17" x14ac:dyDescent="0.35">
      <c r="A26">
        <v>1112</v>
      </c>
      <c r="B26" s="1">
        <v>46057</v>
      </c>
      <c r="C26" t="s">
        <v>29</v>
      </c>
      <c r="D26" t="s">
        <v>30</v>
      </c>
      <c r="E26" t="s">
        <v>17</v>
      </c>
      <c r="F26" t="s">
        <v>31</v>
      </c>
      <c r="G26" t="s">
        <v>32</v>
      </c>
      <c r="H26" t="s">
        <v>33</v>
      </c>
      <c r="I26" t="s">
        <v>34</v>
      </c>
      <c r="J26">
        <v>6</v>
      </c>
      <c r="K26">
        <v>285</v>
      </c>
      <c r="L26">
        <v>3</v>
      </c>
      <c r="M26">
        <v>3</v>
      </c>
      <c r="N26" t="s">
        <v>22</v>
      </c>
      <c r="O26" t="s">
        <v>22</v>
      </c>
      <c r="P26">
        <f>Table1[[#This Row],[Quantity]]*Table1[[#This Row],[UnitPrice]]</f>
        <v>1710</v>
      </c>
      <c r="Q26" t="str">
        <f>IF(Table1[[#This Row],[ShippingDays]]&gt;Table1[[#This Row],[ExpectedShippingDays]],"Late","On Time")</f>
        <v>On Time</v>
      </c>
    </row>
    <row r="27" spans="1:17" x14ac:dyDescent="0.35">
      <c r="A27">
        <v>1096</v>
      </c>
      <c r="B27" s="1">
        <v>46058</v>
      </c>
      <c r="C27" t="s">
        <v>29</v>
      </c>
      <c r="D27" t="s">
        <v>30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>
        <v>7</v>
      </c>
      <c r="K27">
        <v>310</v>
      </c>
      <c r="L27">
        <v>4</v>
      </c>
      <c r="M27">
        <v>6</v>
      </c>
      <c r="N27" t="s">
        <v>22</v>
      </c>
      <c r="O27" t="s">
        <v>22</v>
      </c>
      <c r="P27">
        <f>Table1[[#This Row],[Quantity]]*Table1[[#This Row],[UnitPrice]]</f>
        <v>2170</v>
      </c>
      <c r="Q27" t="str">
        <f>IF(Table1[[#This Row],[ShippingDays]]&gt;Table1[[#This Row],[ExpectedShippingDays]],"Late","On Time")</f>
        <v>Late</v>
      </c>
    </row>
    <row r="28" spans="1:17" x14ac:dyDescent="0.35">
      <c r="A28">
        <v>1118</v>
      </c>
      <c r="B28" s="1">
        <v>46059</v>
      </c>
      <c r="C28" t="s">
        <v>58</v>
      </c>
      <c r="D28" t="s">
        <v>59</v>
      </c>
      <c r="E28" t="s">
        <v>17</v>
      </c>
      <c r="F28" t="s">
        <v>31</v>
      </c>
      <c r="G28" t="s">
        <v>32</v>
      </c>
      <c r="H28" t="s">
        <v>33</v>
      </c>
      <c r="I28" t="s">
        <v>34</v>
      </c>
      <c r="J28">
        <v>5</v>
      </c>
      <c r="K28">
        <v>285</v>
      </c>
      <c r="L28">
        <v>3</v>
      </c>
      <c r="M28">
        <v>3</v>
      </c>
      <c r="N28" t="s">
        <v>22</v>
      </c>
      <c r="O28" t="s">
        <v>22</v>
      </c>
      <c r="P28">
        <f>Table1[[#This Row],[Quantity]]*Table1[[#This Row],[UnitPrice]]</f>
        <v>1425</v>
      </c>
      <c r="Q28" t="str">
        <f>IF(Table1[[#This Row],[ShippingDays]]&gt;Table1[[#This Row],[ExpectedShippingDays]],"Late","On Time")</f>
        <v>On Time</v>
      </c>
    </row>
    <row r="29" spans="1:17" x14ac:dyDescent="0.35">
      <c r="A29">
        <v>1142</v>
      </c>
      <c r="B29" s="1">
        <v>46059</v>
      </c>
      <c r="C29" t="s">
        <v>70</v>
      </c>
      <c r="D29" t="s">
        <v>71</v>
      </c>
      <c r="E29" t="s">
        <v>72</v>
      </c>
      <c r="F29" t="s">
        <v>18</v>
      </c>
      <c r="G29" t="s">
        <v>19</v>
      </c>
      <c r="H29" t="s">
        <v>20</v>
      </c>
      <c r="I29" t="s">
        <v>21</v>
      </c>
      <c r="J29">
        <v>2</v>
      </c>
      <c r="K29">
        <v>310</v>
      </c>
      <c r="L29">
        <v>4</v>
      </c>
      <c r="M29">
        <v>4</v>
      </c>
      <c r="N29" t="s">
        <v>35</v>
      </c>
      <c r="O29" t="s">
        <v>22</v>
      </c>
      <c r="P29">
        <f>Table1[[#This Row],[Quantity]]*Table1[[#This Row],[UnitPrice]]</f>
        <v>620</v>
      </c>
      <c r="Q29" t="str">
        <f>IF(Table1[[#This Row],[ShippingDays]]&gt;Table1[[#This Row],[ExpectedShippingDays]],"Late","On Time")</f>
        <v>On Time</v>
      </c>
    </row>
    <row r="30" spans="1:17" x14ac:dyDescent="0.35">
      <c r="A30">
        <v>1085</v>
      </c>
      <c r="B30" s="1">
        <v>46060</v>
      </c>
      <c r="C30" t="s">
        <v>29</v>
      </c>
      <c r="D30" t="s">
        <v>30</v>
      </c>
      <c r="E30" t="s">
        <v>17</v>
      </c>
      <c r="F30" t="s">
        <v>79</v>
      </c>
      <c r="G30" t="s">
        <v>80</v>
      </c>
      <c r="H30" t="s">
        <v>77</v>
      </c>
      <c r="I30" t="s">
        <v>81</v>
      </c>
      <c r="J30">
        <v>3</v>
      </c>
      <c r="K30">
        <v>850</v>
      </c>
      <c r="L30">
        <v>3</v>
      </c>
      <c r="M30">
        <v>4</v>
      </c>
      <c r="N30" t="s">
        <v>22</v>
      </c>
      <c r="O30" t="s">
        <v>22</v>
      </c>
      <c r="P30">
        <f>Table1[[#This Row],[Quantity]]*Table1[[#This Row],[UnitPrice]]</f>
        <v>2550</v>
      </c>
      <c r="Q30" t="str">
        <f>IF(Table1[[#This Row],[ShippingDays]]&gt;Table1[[#This Row],[ExpectedShippingDays]],"Late","On Time")</f>
        <v>Late</v>
      </c>
    </row>
    <row r="31" spans="1:17" x14ac:dyDescent="0.35">
      <c r="A31">
        <v>1124</v>
      </c>
      <c r="B31" s="1">
        <v>46061</v>
      </c>
      <c r="C31" t="s">
        <v>39</v>
      </c>
      <c r="D31" t="s">
        <v>40</v>
      </c>
      <c r="E31" t="s">
        <v>41</v>
      </c>
      <c r="F31" t="s">
        <v>50</v>
      </c>
      <c r="G31" t="s">
        <v>51</v>
      </c>
      <c r="H31" t="s">
        <v>33</v>
      </c>
      <c r="I31" t="s">
        <v>34</v>
      </c>
      <c r="J31">
        <v>3</v>
      </c>
      <c r="K31">
        <v>160</v>
      </c>
      <c r="L31">
        <v>2</v>
      </c>
      <c r="M31">
        <v>1</v>
      </c>
      <c r="N31" t="s">
        <v>35</v>
      </c>
      <c r="O31" t="s">
        <v>22</v>
      </c>
      <c r="P31">
        <f>Table1[[#This Row],[Quantity]]*Table1[[#This Row],[UnitPrice]]</f>
        <v>480</v>
      </c>
      <c r="Q31" t="str">
        <f>IF(Table1[[#This Row],[ShippingDays]]&gt;Table1[[#This Row],[ExpectedShippingDays]],"Late","On Time")</f>
        <v>On Time</v>
      </c>
    </row>
    <row r="32" spans="1:17" x14ac:dyDescent="0.35">
      <c r="A32">
        <v>1037</v>
      </c>
      <c r="B32" s="1">
        <v>46062</v>
      </c>
      <c r="C32" t="s">
        <v>82</v>
      </c>
      <c r="D32" t="s">
        <v>83</v>
      </c>
      <c r="E32" t="s">
        <v>72</v>
      </c>
      <c r="F32" t="s">
        <v>79</v>
      </c>
      <c r="G32" t="s">
        <v>80</v>
      </c>
      <c r="H32" t="s">
        <v>77</v>
      </c>
      <c r="I32" t="s">
        <v>81</v>
      </c>
      <c r="J32">
        <v>3</v>
      </c>
      <c r="K32">
        <v>850</v>
      </c>
      <c r="L32">
        <v>3</v>
      </c>
      <c r="M32">
        <v>4</v>
      </c>
      <c r="N32" t="s">
        <v>22</v>
      </c>
      <c r="O32" t="s">
        <v>22</v>
      </c>
      <c r="P32">
        <f>Table1[[#This Row],[Quantity]]*Table1[[#This Row],[UnitPrice]]</f>
        <v>2550</v>
      </c>
      <c r="Q32" t="str">
        <f>IF(Table1[[#This Row],[ShippingDays]]&gt;Table1[[#This Row],[ExpectedShippingDays]],"Late","On Time")</f>
        <v>Late</v>
      </c>
    </row>
    <row r="33" spans="1:17" x14ac:dyDescent="0.35">
      <c r="A33">
        <v>1056</v>
      </c>
      <c r="B33" s="1">
        <v>46062</v>
      </c>
      <c r="C33" t="s">
        <v>54</v>
      </c>
      <c r="D33" t="s">
        <v>55</v>
      </c>
      <c r="E33" t="s">
        <v>38</v>
      </c>
      <c r="F33" t="s">
        <v>44</v>
      </c>
      <c r="G33" t="s">
        <v>45</v>
      </c>
      <c r="H33" t="s">
        <v>46</v>
      </c>
      <c r="I33" t="s">
        <v>47</v>
      </c>
      <c r="J33">
        <v>6</v>
      </c>
      <c r="K33">
        <v>78</v>
      </c>
      <c r="L33">
        <v>2</v>
      </c>
      <c r="M33">
        <v>1</v>
      </c>
      <c r="N33" t="s">
        <v>22</v>
      </c>
      <c r="O33" t="s">
        <v>22</v>
      </c>
      <c r="P33">
        <f>Table1[[#This Row],[Quantity]]*Table1[[#This Row],[UnitPrice]]</f>
        <v>468</v>
      </c>
      <c r="Q33" t="str">
        <f>IF(Table1[[#This Row],[ShippingDays]]&gt;Table1[[#This Row],[ExpectedShippingDays]],"Late","On Time")</f>
        <v>On Time</v>
      </c>
    </row>
    <row r="34" spans="1:17" x14ac:dyDescent="0.35">
      <c r="A34">
        <v>1012</v>
      </c>
      <c r="B34" s="1">
        <v>46064</v>
      </c>
      <c r="C34" t="s">
        <v>23</v>
      </c>
      <c r="D34" t="s">
        <v>24</v>
      </c>
      <c r="E34" t="s">
        <v>17</v>
      </c>
      <c r="F34" t="s">
        <v>44</v>
      </c>
      <c r="G34" t="s">
        <v>45</v>
      </c>
      <c r="H34" t="s">
        <v>46</v>
      </c>
      <c r="I34" t="s">
        <v>47</v>
      </c>
      <c r="J34">
        <v>4</v>
      </c>
      <c r="K34">
        <v>78</v>
      </c>
      <c r="L34">
        <v>2</v>
      </c>
      <c r="M34">
        <v>3</v>
      </c>
      <c r="N34" t="s">
        <v>22</v>
      </c>
      <c r="O34" t="s">
        <v>22</v>
      </c>
      <c r="P34">
        <f>Table1[[#This Row],[Quantity]]*Table1[[#This Row],[UnitPrice]]</f>
        <v>312</v>
      </c>
      <c r="Q34" t="str">
        <f>IF(Table1[[#This Row],[ShippingDays]]&gt;Table1[[#This Row],[ExpectedShippingDays]],"Late","On Time")</f>
        <v>Late</v>
      </c>
    </row>
    <row r="35" spans="1:17" x14ac:dyDescent="0.35">
      <c r="A35">
        <v>1008</v>
      </c>
      <c r="B35" s="1">
        <v>46065</v>
      </c>
      <c r="C35" t="s">
        <v>66</v>
      </c>
      <c r="D35" t="s">
        <v>67</v>
      </c>
      <c r="E35" t="s">
        <v>41</v>
      </c>
      <c r="F35" t="s">
        <v>44</v>
      </c>
      <c r="G35" t="s">
        <v>45</v>
      </c>
      <c r="H35" t="s">
        <v>46</v>
      </c>
      <c r="I35" t="s">
        <v>47</v>
      </c>
      <c r="J35">
        <v>19</v>
      </c>
      <c r="K35">
        <v>78</v>
      </c>
      <c r="L35">
        <v>2</v>
      </c>
      <c r="M35">
        <v>2</v>
      </c>
      <c r="N35" t="s">
        <v>22</v>
      </c>
      <c r="O35" t="s">
        <v>22</v>
      </c>
      <c r="P35">
        <f>Table1[[#This Row],[Quantity]]*Table1[[#This Row],[UnitPrice]]</f>
        <v>1482</v>
      </c>
      <c r="Q35" t="str">
        <f>IF(Table1[[#This Row],[ShippingDays]]&gt;Table1[[#This Row],[ExpectedShippingDays]],"Late","On Time")</f>
        <v>On Time</v>
      </c>
    </row>
    <row r="36" spans="1:17" x14ac:dyDescent="0.35">
      <c r="A36">
        <v>1049</v>
      </c>
      <c r="B36" s="1">
        <v>46067</v>
      </c>
      <c r="C36" t="s">
        <v>23</v>
      </c>
      <c r="D36" t="s">
        <v>24</v>
      </c>
      <c r="E36" t="s">
        <v>17</v>
      </c>
      <c r="F36" t="s">
        <v>68</v>
      </c>
      <c r="G36" t="s">
        <v>69</v>
      </c>
      <c r="H36" t="s">
        <v>46</v>
      </c>
      <c r="I36" t="s">
        <v>47</v>
      </c>
      <c r="J36">
        <v>18</v>
      </c>
      <c r="K36">
        <v>125</v>
      </c>
      <c r="L36">
        <v>2</v>
      </c>
      <c r="M36">
        <v>4</v>
      </c>
      <c r="N36" t="s">
        <v>22</v>
      </c>
      <c r="O36" t="s">
        <v>22</v>
      </c>
      <c r="P36">
        <f>Table1[[#This Row],[Quantity]]*Table1[[#This Row],[UnitPrice]]</f>
        <v>2250</v>
      </c>
      <c r="Q36" t="str">
        <f>IF(Table1[[#This Row],[ShippingDays]]&gt;Table1[[#This Row],[ExpectedShippingDays]],"Late","On Time")</f>
        <v>Late</v>
      </c>
    </row>
    <row r="37" spans="1:17" x14ac:dyDescent="0.35">
      <c r="A37">
        <v>1066</v>
      </c>
      <c r="B37" s="1">
        <v>46074</v>
      </c>
      <c r="C37" t="s">
        <v>29</v>
      </c>
      <c r="D37" t="s">
        <v>30</v>
      </c>
      <c r="E37" t="s">
        <v>17</v>
      </c>
      <c r="F37" t="s">
        <v>84</v>
      </c>
      <c r="G37" t="s">
        <v>85</v>
      </c>
      <c r="H37" t="s">
        <v>77</v>
      </c>
      <c r="I37" t="s">
        <v>78</v>
      </c>
      <c r="J37">
        <v>2</v>
      </c>
      <c r="K37">
        <v>475</v>
      </c>
      <c r="L37">
        <v>4</v>
      </c>
      <c r="M37">
        <v>4</v>
      </c>
      <c r="N37" t="s">
        <v>35</v>
      </c>
      <c r="O37" t="s">
        <v>22</v>
      </c>
      <c r="P37">
        <f>Table1[[#This Row],[Quantity]]*Table1[[#This Row],[UnitPrice]]</f>
        <v>950</v>
      </c>
      <c r="Q37" t="str">
        <f>IF(Table1[[#This Row],[ShippingDays]]&gt;Table1[[#This Row],[ExpectedShippingDays]],"Late","On Time")</f>
        <v>On Time</v>
      </c>
    </row>
    <row r="38" spans="1:17" x14ac:dyDescent="0.35">
      <c r="A38">
        <v>1041</v>
      </c>
      <c r="B38" s="1">
        <v>46075</v>
      </c>
      <c r="C38" t="s">
        <v>66</v>
      </c>
      <c r="D38" t="s">
        <v>67</v>
      </c>
      <c r="E38" t="s">
        <v>41</v>
      </c>
      <c r="F38" t="s">
        <v>86</v>
      </c>
      <c r="G38" t="s">
        <v>87</v>
      </c>
      <c r="H38" t="s">
        <v>77</v>
      </c>
      <c r="I38" t="s">
        <v>81</v>
      </c>
      <c r="J38">
        <v>1</v>
      </c>
      <c r="K38">
        <v>1200</v>
      </c>
      <c r="L38">
        <v>5</v>
      </c>
      <c r="M38">
        <v>5</v>
      </c>
      <c r="N38" t="s">
        <v>22</v>
      </c>
      <c r="O38" t="s">
        <v>22</v>
      </c>
      <c r="P38">
        <f>Table1[[#This Row],[Quantity]]*Table1[[#This Row],[UnitPrice]]</f>
        <v>1200</v>
      </c>
      <c r="Q38" t="str">
        <f>IF(Table1[[#This Row],[ShippingDays]]&gt;Table1[[#This Row],[ExpectedShippingDays]],"Late","On Time")</f>
        <v>On Time</v>
      </c>
    </row>
    <row r="39" spans="1:17" x14ac:dyDescent="0.35">
      <c r="A39">
        <v>1048</v>
      </c>
      <c r="B39" s="1">
        <v>46077</v>
      </c>
      <c r="C39" t="s">
        <v>15</v>
      </c>
      <c r="D39" t="s">
        <v>16</v>
      </c>
      <c r="E39" t="s">
        <v>17</v>
      </c>
      <c r="F39" t="s">
        <v>52</v>
      </c>
      <c r="G39" t="s">
        <v>53</v>
      </c>
      <c r="H39" t="s">
        <v>20</v>
      </c>
      <c r="I39" t="s">
        <v>21</v>
      </c>
      <c r="J39">
        <v>5</v>
      </c>
      <c r="K39">
        <v>540</v>
      </c>
      <c r="L39">
        <v>4</v>
      </c>
      <c r="M39">
        <v>4</v>
      </c>
      <c r="N39" t="s">
        <v>22</v>
      </c>
      <c r="O39" t="s">
        <v>22</v>
      </c>
      <c r="P39">
        <f>Table1[[#This Row],[Quantity]]*Table1[[#This Row],[UnitPrice]]</f>
        <v>2700</v>
      </c>
      <c r="Q39" t="str">
        <f>IF(Table1[[#This Row],[ShippingDays]]&gt;Table1[[#This Row],[ExpectedShippingDays]],"Late","On Time")</f>
        <v>On Time</v>
      </c>
    </row>
    <row r="40" spans="1:17" x14ac:dyDescent="0.35">
      <c r="A40">
        <v>1082</v>
      </c>
      <c r="B40" s="1">
        <v>46077</v>
      </c>
      <c r="C40" t="s">
        <v>23</v>
      </c>
      <c r="D40" t="s">
        <v>24</v>
      </c>
      <c r="E40" t="s">
        <v>17</v>
      </c>
      <c r="F40" t="s">
        <v>48</v>
      </c>
      <c r="G40" t="s">
        <v>49</v>
      </c>
      <c r="H40" t="s">
        <v>33</v>
      </c>
      <c r="I40" t="s">
        <v>34</v>
      </c>
      <c r="J40">
        <v>4</v>
      </c>
      <c r="K40">
        <v>42.5</v>
      </c>
      <c r="L40">
        <v>2</v>
      </c>
      <c r="M40">
        <v>3</v>
      </c>
      <c r="N40" t="s">
        <v>35</v>
      </c>
      <c r="O40" t="s">
        <v>22</v>
      </c>
      <c r="P40">
        <f>Table1[[#This Row],[Quantity]]*Table1[[#This Row],[UnitPrice]]</f>
        <v>170</v>
      </c>
      <c r="Q40" t="str">
        <f>IF(Table1[[#This Row],[ShippingDays]]&gt;Table1[[#This Row],[ExpectedShippingDays]],"Late","On Time")</f>
        <v>Late</v>
      </c>
    </row>
    <row r="41" spans="1:17" x14ac:dyDescent="0.35">
      <c r="A41">
        <v>1018</v>
      </c>
      <c r="B41" s="1">
        <v>46078</v>
      </c>
      <c r="C41" t="s">
        <v>82</v>
      </c>
      <c r="D41" t="s">
        <v>83</v>
      </c>
      <c r="E41" t="s">
        <v>72</v>
      </c>
      <c r="F41" t="s">
        <v>52</v>
      </c>
      <c r="G41" t="s">
        <v>53</v>
      </c>
      <c r="H41" t="s">
        <v>20</v>
      </c>
      <c r="I41" t="s">
        <v>21</v>
      </c>
      <c r="J41">
        <v>2</v>
      </c>
      <c r="K41">
        <v>540</v>
      </c>
      <c r="L41">
        <v>4</v>
      </c>
      <c r="M41">
        <v>4</v>
      </c>
      <c r="N41" t="s">
        <v>22</v>
      </c>
      <c r="O41" t="s">
        <v>22</v>
      </c>
      <c r="P41">
        <f>Table1[[#This Row],[Quantity]]*Table1[[#This Row],[UnitPrice]]</f>
        <v>1080</v>
      </c>
      <c r="Q41" t="str">
        <f>IF(Table1[[#This Row],[ShippingDays]]&gt;Table1[[#This Row],[ExpectedShippingDays]],"Late","On Time")</f>
        <v>On Time</v>
      </c>
    </row>
    <row r="42" spans="1:17" x14ac:dyDescent="0.35">
      <c r="A42">
        <v>1027</v>
      </c>
      <c r="B42" s="1">
        <v>46079</v>
      </c>
      <c r="C42" t="s">
        <v>58</v>
      </c>
      <c r="D42" t="s">
        <v>59</v>
      </c>
      <c r="E42" t="s">
        <v>17</v>
      </c>
      <c r="F42" t="s">
        <v>50</v>
      </c>
      <c r="G42" t="s">
        <v>51</v>
      </c>
      <c r="H42" t="s">
        <v>33</v>
      </c>
      <c r="I42" t="s">
        <v>34</v>
      </c>
      <c r="J42">
        <v>1</v>
      </c>
      <c r="K42">
        <v>160</v>
      </c>
      <c r="L42">
        <v>2</v>
      </c>
      <c r="M42">
        <v>2</v>
      </c>
      <c r="N42" t="s">
        <v>22</v>
      </c>
      <c r="O42" t="s">
        <v>22</v>
      </c>
      <c r="P42">
        <f>Table1[[#This Row],[Quantity]]*Table1[[#This Row],[UnitPrice]]</f>
        <v>160</v>
      </c>
      <c r="Q42" t="str">
        <f>IF(Table1[[#This Row],[ShippingDays]]&gt;Table1[[#This Row],[ExpectedShippingDays]],"Late","On Time")</f>
        <v>On Time</v>
      </c>
    </row>
    <row r="43" spans="1:17" x14ac:dyDescent="0.35">
      <c r="A43">
        <v>1094</v>
      </c>
      <c r="B43" s="1">
        <v>46081</v>
      </c>
      <c r="C43" t="s">
        <v>29</v>
      </c>
      <c r="D43" t="s">
        <v>30</v>
      </c>
      <c r="E43" t="s">
        <v>17</v>
      </c>
      <c r="F43" t="s">
        <v>64</v>
      </c>
      <c r="G43" t="s">
        <v>65</v>
      </c>
      <c r="H43" t="s">
        <v>20</v>
      </c>
      <c r="I43" t="s">
        <v>21</v>
      </c>
      <c r="J43">
        <v>5</v>
      </c>
      <c r="K43">
        <v>95</v>
      </c>
      <c r="L43">
        <v>3</v>
      </c>
      <c r="M43">
        <v>3</v>
      </c>
      <c r="N43" t="s">
        <v>22</v>
      </c>
      <c r="O43" t="s">
        <v>22</v>
      </c>
      <c r="P43">
        <f>Table1[[#This Row],[Quantity]]*Table1[[#This Row],[UnitPrice]]</f>
        <v>475</v>
      </c>
      <c r="Q43" t="str">
        <f>IF(Table1[[#This Row],[ShippingDays]]&gt;Table1[[#This Row],[ExpectedShippingDays]],"Late","On Time")</f>
        <v>On Time</v>
      </c>
    </row>
    <row r="44" spans="1:17" x14ac:dyDescent="0.35">
      <c r="A44">
        <v>1075</v>
      </c>
      <c r="B44" s="1">
        <v>46088</v>
      </c>
      <c r="C44" t="s">
        <v>54</v>
      </c>
      <c r="D44" t="s">
        <v>55</v>
      </c>
      <c r="E44" t="s">
        <v>38</v>
      </c>
      <c r="F44" t="s">
        <v>68</v>
      </c>
      <c r="G44" t="s">
        <v>69</v>
      </c>
      <c r="H44" t="s">
        <v>46</v>
      </c>
      <c r="I44" t="s">
        <v>47</v>
      </c>
      <c r="J44">
        <v>8</v>
      </c>
      <c r="K44">
        <v>125</v>
      </c>
      <c r="L44">
        <v>2</v>
      </c>
      <c r="M44">
        <v>3</v>
      </c>
      <c r="N44" t="s">
        <v>22</v>
      </c>
      <c r="O44" t="s">
        <v>22</v>
      </c>
      <c r="P44">
        <f>Table1[[#This Row],[Quantity]]*Table1[[#This Row],[UnitPrice]]</f>
        <v>1000</v>
      </c>
      <c r="Q44" t="str">
        <f>IF(Table1[[#This Row],[ShippingDays]]&gt;Table1[[#This Row],[ExpectedShippingDays]],"Late","On Time")</f>
        <v>Late</v>
      </c>
    </row>
    <row r="45" spans="1:17" x14ac:dyDescent="0.35">
      <c r="A45">
        <v>1030</v>
      </c>
      <c r="B45" s="1">
        <v>46090</v>
      </c>
      <c r="C45" t="s">
        <v>54</v>
      </c>
      <c r="D45" t="s">
        <v>55</v>
      </c>
      <c r="E45" t="s">
        <v>38</v>
      </c>
      <c r="F45" t="s">
        <v>60</v>
      </c>
      <c r="G45" t="s">
        <v>61</v>
      </c>
      <c r="H45" t="s">
        <v>62</v>
      </c>
      <c r="I45" t="s">
        <v>63</v>
      </c>
      <c r="J45">
        <v>6</v>
      </c>
      <c r="K45">
        <v>265</v>
      </c>
      <c r="L45">
        <v>2</v>
      </c>
      <c r="M45">
        <v>2</v>
      </c>
      <c r="N45" t="s">
        <v>22</v>
      </c>
      <c r="O45" t="s">
        <v>22</v>
      </c>
      <c r="P45">
        <f>Table1[[#This Row],[Quantity]]*Table1[[#This Row],[UnitPrice]]</f>
        <v>1590</v>
      </c>
      <c r="Q45" t="str">
        <f>IF(Table1[[#This Row],[ShippingDays]]&gt;Table1[[#This Row],[ExpectedShippingDays]],"Late","On Time")</f>
        <v>On Time</v>
      </c>
    </row>
    <row r="46" spans="1:17" x14ac:dyDescent="0.35">
      <c r="A46">
        <v>1043</v>
      </c>
      <c r="B46" s="1">
        <v>46090</v>
      </c>
      <c r="C46" t="s">
        <v>39</v>
      </c>
      <c r="D46" t="s">
        <v>40</v>
      </c>
      <c r="E46" t="s">
        <v>41</v>
      </c>
      <c r="F46" t="s">
        <v>50</v>
      </c>
      <c r="G46" t="s">
        <v>51</v>
      </c>
      <c r="H46" t="s">
        <v>33</v>
      </c>
      <c r="I46" t="s">
        <v>34</v>
      </c>
      <c r="J46">
        <v>5</v>
      </c>
      <c r="K46">
        <v>160</v>
      </c>
      <c r="L46">
        <v>2</v>
      </c>
      <c r="M46">
        <v>3</v>
      </c>
      <c r="N46" t="s">
        <v>35</v>
      </c>
      <c r="O46" t="s">
        <v>22</v>
      </c>
      <c r="P46">
        <f>Table1[[#This Row],[Quantity]]*Table1[[#This Row],[UnitPrice]]</f>
        <v>800</v>
      </c>
      <c r="Q46" t="str">
        <f>IF(Table1[[#This Row],[ShippingDays]]&gt;Table1[[#This Row],[ExpectedShippingDays]],"Late","On Time")</f>
        <v>Late</v>
      </c>
    </row>
    <row r="47" spans="1:17" x14ac:dyDescent="0.35">
      <c r="A47">
        <v>1014</v>
      </c>
      <c r="B47" s="1">
        <v>46091</v>
      </c>
      <c r="C47" t="s">
        <v>82</v>
      </c>
      <c r="D47" t="s">
        <v>83</v>
      </c>
      <c r="E47" t="s">
        <v>72</v>
      </c>
      <c r="F47" t="s">
        <v>52</v>
      </c>
      <c r="G47" t="s">
        <v>53</v>
      </c>
      <c r="H47" t="s">
        <v>20</v>
      </c>
      <c r="I47" t="s">
        <v>21</v>
      </c>
      <c r="J47">
        <v>5</v>
      </c>
      <c r="K47">
        <v>540</v>
      </c>
      <c r="L47">
        <v>4</v>
      </c>
      <c r="M47">
        <v>4</v>
      </c>
      <c r="N47" t="s">
        <v>22</v>
      </c>
      <c r="O47" t="s">
        <v>22</v>
      </c>
      <c r="P47">
        <f>Table1[[#This Row],[Quantity]]*Table1[[#This Row],[UnitPrice]]</f>
        <v>2700</v>
      </c>
      <c r="Q47" t="str">
        <f>IF(Table1[[#This Row],[ShippingDays]]&gt;Table1[[#This Row],[ExpectedShippingDays]],"Late","On Time")</f>
        <v>On Time</v>
      </c>
    </row>
    <row r="48" spans="1:17" x14ac:dyDescent="0.35">
      <c r="A48">
        <v>1035</v>
      </c>
      <c r="B48" s="1">
        <v>46091</v>
      </c>
      <c r="C48" t="s">
        <v>82</v>
      </c>
      <c r="D48" t="s">
        <v>83</v>
      </c>
      <c r="E48" t="s">
        <v>72</v>
      </c>
      <c r="F48" t="s">
        <v>64</v>
      </c>
      <c r="G48" t="s">
        <v>65</v>
      </c>
      <c r="H48" t="s">
        <v>20</v>
      </c>
      <c r="I48" t="s">
        <v>21</v>
      </c>
      <c r="J48">
        <v>3</v>
      </c>
      <c r="K48">
        <v>95</v>
      </c>
      <c r="L48">
        <v>3</v>
      </c>
      <c r="M48">
        <v>4</v>
      </c>
      <c r="N48" t="s">
        <v>35</v>
      </c>
      <c r="O48" t="s">
        <v>22</v>
      </c>
      <c r="P48">
        <f>Table1[[#This Row],[Quantity]]*Table1[[#This Row],[UnitPrice]]</f>
        <v>285</v>
      </c>
      <c r="Q48" t="str">
        <f>IF(Table1[[#This Row],[ShippingDays]]&gt;Table1[[#This Row],[ExpectedShippingDays]],"Late","On Time")</f>
        <v>Late</v>
      </c>
    </row>
    <row r="49" spans="1:17" x14ac:dyDescent="0.35">
      <c r="A49">
        <v>1036</v>
      </c>
      <c r="B49" s="1">
        <v>46091</v>
      </c>
      <c r="C49" t="s">
        <v>39</v>
      </c>
      <c r="D49" t="s">
        <v>40</v>
      </c>
      <c r="E49" t="s">
        <v>41</v>
      </c>
      <c r="F49" t="s">
        <v>52</v>
      </c>
      <c r="G49" t="s">
        <v>53</v>
      </c>
      <c r="H49" t="s">
        <v>20</v>
      </c>
      <c r="I49" t="s">
        <v>21</v>
      </c>
      <c r="J49">
        <v>5</v>
      </c>
      <c r="K49">
        <v>540</v>
      </c>
      <c r="L49">
        <v>4</v>
      </c>
      <c r="M49">
        <v>7</v>
      </c>
      <c r="N49" t="s">
        <v>22</v>
      </c>
      <c r="O49" t="s">
        <v>22</v>
      </c>
      <c r="P49">
        <f>Table1[[#This Row],[Quantity]]*Table1[[#This Row],[UnitPrice]]</f>
        <v>2700</v>
      </c>
      <c r="Q49" t="str">
        <f>IF(Table1[[#This Row],[ShippingDays]]&gt;Table1[[#This Row],[ExpectedShippingDays]],"Late","On Time")</f>
        <v>Late</v>
      </c>
    </row>
    <row r="50" spans="1:17" x14ac:dyDescent="0.35">
      <c r="A50">
        <v>1088</v>
      </c>
      <c r="B50" s="1">
        <v>46092</v>
      </c>
      <c r="C50" t="s">
        <v>36</v>
      </c>
      <c r="D50" t="s">
        <v>37</v>
      </c>
      <c r="E50" t="s">
        <v>38</v>
      </c>
      <c r="F50" t="s">
        <v>79</v>
      </c>
      <c r="G50" t="s">
        <v>80</v>
      </c>
      <c r="H50" t="s">
        <v>77</v>
      </c>
      <c r="I50" t="s">
        <v>81</v>
      </c>
      <c r="J50">
        <v>2</v>
      </c>
      <c r="K50">
        <v>850</v>
      </c>
      <c r="L50">
        <v>3</v>
      </c>
      <c r="M50">
        <v>3</v>
      </c>
      <c r="N50" t="s">
        <v>22</v>
      </c>
      <c r="O50" t="s">
        <v>22</v>
      </c>
      <c r="P50">
        <f>Table1[[#This Row],[Quantity]]*Table1[[#This Row],[UnitPrice]]</f>
        <v>1700</v>
      </c>
      <c r="Q50" t="str">
        <f>IF(Table1[[#This Row],[ShippingDays]]&gt;Table1[[#This Row],[ExpectedShippingDays]],"Late","On Time")</f>
        <v>On Time</v>
      </c>
    </row>
    <row r="51" spans="1:17" x14ac:dyDescent="0.35">
      <c r="A51">
        <v>1095</v>
      </c>
      <c r="B51" s="1">
        <v>46093</v>
      </c>
      <c r="C51" t="s">
        <v>15</v>
      </c>
      <c r="D51" t="s">
        <v>16</v>
      </c>
      <c r="E51" t="s">
        <v>17</v>
      </c>
      <c r="F51" t="s">
        <v>56</v>
      </c>
      <c r="G51" t="s">
        <v>57</v>
      </c>
      <c r="H51" t="s">
        <v>46</v>
      </c>
      <c r="I51" t="s">
        <v>47</v>
      </c>
      <c r="J51">
        <v>17</v>
      </c>
      <c r="K51">
        <v>62</v>
      </c>
      <c r="L51">
        <v>2</v>
      </c>
      <c r="M51">
        <v>4</v>
      </c>
      <c r="N51" t="s">
        <v>22</v>
      </c>
      <c r="O51" t="s">
        <v>22</v>
      </c>
      <c r="P51">
        <f>Table1[[#This Row],[Quantity]]*Table1[[#This Row],[UnitPrice]]</f>
        <v>1054</v>
      </c>
      <c r="Q51" t="str">
        <f>IF(Table1[[#This Row],[ShippingDays]]&gt;Table1[[#This Row],[ExpectedShippingDays]],"Late","On Time")</f>
        <v>Late</v>
      </c>
    </row>
    <row r="52" spans="1:17" x14ac:dyDescent="0.35">
      <c r="A52">
        <v>1004</v>
      </c>
      <c r="B52" s="1">
        <v>46095</v>
      </c>
      <c r="C52" t="s">
        <v>39</v>
      </c>
      <c r="D52" t="s">
        <v>40</v>
      </c>
      <c r="E52" t="s">
        <v>41</v>
      </c>
      <c r="F52" t="s">
        <v>48</v>
      </c>
      <c r="G52" t="s">
        <v>49</v>
      </c>
      <c r="H52" t="s">
        <v>33</v>
      </c>
      <c r="I52" t="s">
        <v>34</v>
      </c>
      <c r="J52">
        <v>12</v>
      </c>
      <c r="K52">
        <v>42.5</v>
      </c>
      <c r="L52">
        <v>2</v>
      </c>
      <c r="M52">
        <v>3</v>
      </c>
      <c r="N52" t="s">
        <v>35</v>
      </c>
      <c r="O52" t="s">
        <v>22</v>
      </c>
      <c r="P52">
        <f>Table1[[#This Row],[Quantity]]*Table1[[#This Row],[UnitPrice]]</f>
        <v>510</v>
      </c>
      <c r="Q52" t="str">
        <f>IF(Table1[[#This Row],[ShippingDays]]&gt;Table1[[#This Row],[ExpectedShippingDays]],"Late","On Time")</f>
        <v>Late</v>
      </c>
    </row>
    <row r="53" spans="1:17" x14ac:dyDescent="0.35">
      <c r="A53">
        <v>1042</v>
      </c>
      <c r="B53" s="1">
        <v>46095</v>
      </c>
      <c r="C53" t="s">
        <v>42</v>
      </c>
      <c r="D53" t="s">
        <v>43</v>
      </c>
      <c r="E53" t="s">
        <v>38</v>
      </c>
      <c r="F53" t="s">
        <v>60</v>
      </c>
      <c r="G53" t="s">
        <v>61</v>
      </c>
      <c r="H53" t="s">
        <v>62</v>
      </c>
      <c r="I53" t="s">
        <v>63</v>
      </c>
      <c r="J53">
        <v>7</v>
      </c>
      <c r="K53">
        <v>265</v>
      </c>
      <c r="L53">
        <v>2</v>
      </c>
      <c r="M53">
        <v>4</v>
      </c>
      <c r="N53" t="s">
        <v>22</v>
      </c>
      <c r="O53" t="s">
        <v>22</v>
      </c>
      <c r="P53">
        <f>Table1[[#This Row],[Quantity]]*Table1[[#This Row],[UnitPrice]]</f>
        <v>1855</v>
      </c>
      <c r="Q53" t="str">
        <f>IF(Table1[[#This Row],[ShippingDays]]&gt;Table1[[#This Row],[ExpectedShippingDays]],"Late","On Time")</f>
        <v>Late</v>
      </c>
    </row>
    <row r="54" spans="1:17" x14ac:dyDescent="0.35">
      <c r="A54">
        <v>1114</v>
      </c>
      <c r="B54" s="1">
        <v>46099</v>
      </c>
      <c r="C54" t="s">
        <v>73</v>
      </c>
      <c r="D54" t="s">
        <v>74</v>
      </c>
      <c r="E54" t="s">
        <v>41</v>
      </c>
      <c r="F54" t="s">
        <v>56</v>
      </c>
      <c r="G54" t="s">
        <v>57</v>
      </c>
      <c r="H54" t="s">
        <v>46</v>
      </c>
      <c r="I54" t="s">
        <v>47</v>
      </c>
      <c r="J54">
        <v>5</v>
      </c>
      <c r="K54">
        <v>62</v>
      </c>
      <c r="L54">
        <v>2</v>
      </c>
      <c r="M54">
        <v>2</v>
      </c>
      <c r="N54" t="s">
        <v>22</v>
      </c>
      <c r="O54" t="s">
        <v>22</v>
      </c>
      <c r="P54">
        <f>Table1[[#This Row],[Quantity]]*Table1[[#This Row],[UnitPrice]]</f>
        <v>310</v>
      </c>
      <c r="Q54" t="str">
        <f>IF(Table1[[#This Row],[ShippingDays]]&gt;Table1[[#This Row],[ExpectedShippingDays]],"Late","On Time")</f>
        <v>On Time</v>
      </c>
    </row>
    <row r="55" spans="1:17" x14ac:dyDescent="0.35">
      <c r="A55">
        <v>1046</v>
      </c>
      <c r="B55" s="1">
        <v>46100</v>
      </c>
      <c r="C55" t="s">
        <v>82</v>
      </c>
      <c r="D55" t="s">
        <v>83</v>
      </c>
      <c r="E55" t="s">
        <v>72</v>
      </c>
      <c r="F55" t="s">
        <v>86</v>
      </c>
      <c r="G55" t="s">
        <v>87</v>
      </c>
      <c r="H55" t="s">
        <v>77</v>
      </c>
      <c r="I55" t="s">
        <v>81</v>
      </c>
      <c r="J55">
        <v>2</v>
      </c>
      <c r="K55">
        <v>1200</v>
      </c>
      <c r="L55">
        <v>5</v>
      </c>
      <c r="M55">
        <v>5</v>
      </c>
      <c r="N55" t="s">
        <v>22</v>
      </c>
      <c r="O55" t="s">
        <v>22</v>
      </c>
      <c r="P55">
        <f>Table1[[#This Row],[Quantity]]*Table1[[#This Row],[UnitPrice]]</f>
        <v>2400</v>
      </c>
      <c r="Q55" t="str">
        <f>IF(Table1[[#This Row],[ShippingDays]]&gt;Table1[[#This Row],[ExpectedShippingDays]],"Late","On Time")</f>
        <v>On Time</v>
      </c>
    </row>
    <row r="56" spans="1:17" x14ac:dyDescent="0.35">
      <c r="A56">
        <v>1086</v>
      </c>
      <c r="B56" s="1">
        <v>46101</v>
      </c>
      <c r="C56" t="s">
        <v>73</v>
      </c>
      <c r="D56" t="s">
        <v>74</v>
      </c>
      <c r="E56" t="s">
        <v>41</v>
      </c>
      <c r="F56" t="s">
        <v>44</v>
      </c>
      <c r="G56" t="s">
        <v>45</v>
      </c>
      <c r="H56" t="s">
        <v>46</v>
      </c>
      <c r="I56" t="s">
        <v>47</v>
      </c>
      <c r="J56">
        <v>10</v>
      </c>
      <c r="K56">
        <v>78</v>
      </c>
      <c r="L56">
        <v>2</v>
      </c>
      <c r="M56">
        <v>2</v>
      </c>
      <c r="N56" t="s">
        <v>22</v>
      </c>
      <c r="O56" t="s">
        <v>22</v>
      </c>
      <c r="P56">
        <f>Table1[[#This Row],[Quantity]]*Table1[[#This Row],[UnitPrice]]</f>
        <v>780</v>
      </c>
      <c r="Q56" t="str">
        <f>IF(Table1[[#This Row],[ShippingDays]]&gt;Table1[[#This Row],[ExpectedShippingDays]],"Late","On Time")</f>
        <v>On Time</v>
      </c>
    </row>
    <row r="57" spans="1:17" x14ac:dyDescent="0.35">
      <c r="A57">
        <v>1150</v>
      </c>
      <c r="B57" s="1">
        <v>46101</v>
      </c>
      <c r="C57" t="s">
        <v>70</v>
      </c>
      <c r="D57" t="s">
        <v>71</v>
      </c>
      <c r="E57" t="s">
        <v>72</v>
      </c>
      <c r="F57" t="s">
        <v>84</v>
      </c>
      <c r="G57" t="s">
        <v>85</v>
      </c>
      <c r="H57" t="s">
        <v>77</v>
      </c>
      <c r="I57" t="s">
        <v>78</v>
      </c>
      <c r="J57">
        <v>3</v>
      </c>
      <c r="K57">
        <v>475</v>
      </c>
      <c r="L57">
        <v>4</v>
      </c>
      <c r="M57">
        <v>5</v>
      </c>
      <c r="N57" t="s">
        <v>22</v>
      </c>
      <c r="O57" t="s">
        <v>22</v>
      </c>
      <c r="P57">
        <f>Table1[[#This Row],[Quantity]]*Table1[[#This Row],[UnitPrice]]</f>
        <v>1425</v>
      </c>
      <c r="Q57" t="str">
        <f>IF(Table1[[#This Row],[ShippingDays]]&gt;Table1[[#This Row],[ExpectedShippingDays]],"Late","On Time")</f>
        <v>Late</v>
      </c>
    </row>
    <row r="58" spans="1:17" x14ac:dyDescent="0.35">
      <c r="A58">
        <v>1016</v>
      </c>
      <c r="B58" s="1">
        <v>46102</v>
      </c>
      <c r="C58" t="s">
        <v>54</v>
      </c>
      <c r="D58" t="s">
        <v>55</v>
      </c>
      <c r="E58" t="s">
        <v>38</v>
      </c>
      <c r="F58" t="s">
        <v>79</v>
      </c>
      <c r="G58" t="s">
        <v>80</v>
      </c>
      <c r="H58" t="s">
        <v>77</v>
      </c>
      <c r="I58" t="s">
        <v>81</v>
      </c>
      <c r="J58">
        <v>5</v>
      </c>
      <c r="K58">
        <v>850</v>
      </c>
      <c r="L58">
        <v>3</v>
      </c>
      <c r="M58">
        <v>2</v>
      </c>
      <c r="N58" t="s">
        <v>22</v>
      </c>
      <c r="O58" t="s">
        <v>22</v>
      </c>
      <c r="P58">
        <f>Table1[[#This Row],[Quantity]]*Table1[[#This Row],[UnitPrice]]</f>
        <v>4250</v>
      </c>
      <c r="Q58" t="str">
        <f>IF(Table1[[#This Row],[ShippingDays]]&gt;Table1[[#This Row],[ExpectedShippingDays]],"Late","On Time")</f>
        <v>On Time</v>
      </c>
    </row>
    <row r="59" spans="1:17" x14ac:dyDescent="0.35">
      <c r="A59">
        <v>1146</v>
      </c>
      <c r="B59" s="1">
        <v>46103</v>
      </c>
      <c r="C59" t="s">
        <v>73</v>
      </c>
      <c r="D59" t="s">
        <v>74</v>
      </c>
      <c r="E59" t="s">
        <v>41</v>
      </c>
      <c r="F59" t="s">
        <v>86</v>
      </c>
      <c r="G59" t="s">
        <v>87</v>
      </c>
      <c r="H59" t="s">
        <v>77</v>
      </c>
      <c r="I59" t="s">
        <v>81</v>
      </c>
      <c r="J59">
        <v>2</v>
      </c>
      <c r="K59">
        <v>1200</v>
      </c>
      <c r="L59">
        <v>5</v>
      </c>
      <c r="M59">
        <v>4</v>
      </c>
      <c r="N59" t="s">
        <v>22</v>
      </c>
      <c r="O59" t="s">
        <v>22</v>
      </c>
      <c r="P59">
        <f>Table1[[#This Row],[Quantity]]*Table1[[#This Row],[UnitPrice]]</f>
        <v>2400</v>
      </c>
      <c r="Q59" t="str">
        <f>IF(Table1[[#This Row],[ShippingDays]]&gt;Table1[[#This Row],[ExpectedShippingDays]],"Late","On Time")</f>
        <v>On Time</v>
      </c>
    </row>
    <row r="60" spans="1:17" x14ac:dyDescent="0.35">
      <c r="A60">
        <v>1087</v>
      </c>
      <c r="B60" s="1">
        <v>46106</v>
      </c>
      <c r="C60" t="s">
        <v>36</v>
      </c>
      <c r="D60" t="s">
        <v>37</v>
      </c>
      <c r="E60" t="s">
        <v>38</v>
      </c>
      <c r="F60" t="s">
        <v>18</v>
      </c>
      <c r="G60" t="s">
        <v>19</v>
      </c>
      <c r="H60" t="s">
        <v>20</v>
      </c>
      <c r="I60" t="s">
        <v>21</v>
      </c>
      <c r="J60">
        <v>2</v>
      </c>
      <c r="K60">
        <v>310</v>
      </c>
      <c r="L60">
        <v>4</v>
      </c>
      <c r="M60">
        <v>6</v>
      </c>
      <c r="N60" t="s">
        <v>22</v>
      </c>
      <c r="O60" t="s">
        <v>22</v>
      </c>
      <c r="P60">
        <f>Table1[[#This Row],[Quantity]]*Table1[[#This Row],[UnitPrice]]</f>
        <v>620</v>
      </c>
      <c r="Q60" t="str">
        <f>IF(Table1[[#This Row],[ShippingDays]]&gt;Table1[[#This Row],[ExpectedShippingDays]],"Late","On Time")</f>
        <v>Late</v>
      </c>
    </row>
    <row r="61" spans="1:17" x14ac:dyDescent="0.35">
      <c r="A61">
        <v>1071</v>
      </c>
      <c r="B61" s="1">
        <v>46107</v>
      </c>
      <c r="C61" t="s">
        <v>39</v>
      </c>
      <c r="D61" t="s">
        <v>40</v>
      </c>
      <c r="E61" t="s">
        <v>41</v>
      </c>
      <c r="F61" t="s">
        <v>64</v>
      </c>
      <c r="G61" t="s">
        <v>65</v>
      </c>
      <c r="H61" t="s">
        <v>20</v>
      </c>
      <c r="I61" t="s">
        <v>21</v>
      </c>
      <c r="J61">
        <v>13</v>
      </c>
      <c r="K61">
        <v>95</v>
      </c>
      <c r="L61">
        <v>3</v>
      </c>
      <c r="M61">
        <v>3</v>
      </c>
      <c r="N61" t="s">
        <v>22</v>
      </c>
      <c r="O61" t="s">
        <v>22</v>
      </c>
      <c r="P61">
        <f>Table1[[#This Row],[Quantity]]*Table1[[#This Row],[UnitPrice]]</f>
        <v>1235</v>
      </c>
      <c r="Q61" t="str">
        <f>IF(Table1[[#This Row],[ShippingDays]]&gt;Table1[[#This Row],[ExpectedShippingDays]],"Late","On Time")</f>
        <v>On Time</v>
      </c>
    </row>
    <row r="62" spans="1:17" x14ac:dyDescent="0.35">
      <c r="A62">
        <v>1129</v>
      </c>
      <c r="B62" s="1">
        <v>46107</v>
      </c>
      <c r="C62" t="s">
        <v>15</v>
      </c>
      <c r="D62" t="s">
        <v>16</v>
      </c>
      <c r="E62" t="s">
        <v>17</v>
      </c>
      <c r="F62" t="s">
        <v>75</v>
      </c>
      <c r="G62" t="s">
        <v>76</v>
      </c>
      <c r="H62" t="s">
        <v>77</v>
      </c>
      <c r="I62" t="s">
        <v>78</v>
      </c>
      <c r="J62">
        <v>3</v>
      </c>
      <c r="K62">
        <v>1450</v>
      </c>
      <c r="L62">
        <v>6</v>
      </c>
      <c r="M62">
        <v>8</v>
      </c>
      <c r="N62" t="s">
        <v>22</v>
      </c>
      <c r="O62" t="s">
        <v>22</v>
      </c>
      <c r="P62">
        <f>Table1[[#This Row],[Quantity]]*Table1[[#This Row],[UnitPrice]]</f>
        <v>4350</v>
      </c>
      <c r="Q62" t="str">
        <f>IF(Table1[[#This Row],[ShippingDays]]&gt;Table1[[#This Row],[ExpectedShippingDays]],"Late","On Time")</f>
        <v>Late</v>
      </c>
    </row>
    <row r="63" spans="1:17" x14ac:dyDescent="0.35">
      <c r="A63">
        <v>1040</v>
      </c>
      <c r="B63" s="1">
        <v>46109</v>
      </c>
      <c r="C63" t="s">
        <v>15</v>
      </c>
      <c r="D63" t="s">
        <v>16</v>
      </c>
      <c r="E63" t="s">
        <v>17</v>
      </c>
      <c r="F63" t="s">
        <v>56</v>
      </c>
      <c r="G63" t="s">
        <v>57</v>
      </c>
      <c r="H63" t="s">
        <v>46</v>
      </c>
      <c r="I63" t="s">
        <v>47</v>
      </c>
      <c r="J63">
        <v>9</v>
      </c>
      <c r="K63">
        <v>62</v>
      </c>
      <c r="L63">
        <v>2</v>
      </c>
      <c r="M63">
        <v>3</v>
      </c>
      <c r="N63" t="s">
        <v>22</v>
      </c>
      <c r="O63" t="s">
        <v>22</v>
      </c>
      <c r="P63">
        <f>Table1[[#This Row],[Quantity]]*Table1[[#This Row],[UnitPrice]]</f>
        <v>558</v>
      </c>
      <c r="Q63" t="str">
        <f>IF(Table1[[#This Row],[ShippingDays]]&gt;Table1[[#This Row],[ExpectedShippingDays]],"Late","On Time")</f>
        <v>Late</v>
      </c>
    </row>
    <row r="64" spans="1:17" x14ac:dyDescent="0.35">
      <c r="A64">
        <v>1062</v>
      </c>
      <c r="B64" s="1">
        <v>46110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>
        <v>7</v>
      </c>
      <c r="K64">
        <v>310</v>
      </c>
      <c r="L64">
        <v>4</v>
      </c>
      <c r="M64">
        <v>3</v>
      </c>
      <c r="N64" t="s">
        <v>22</v>
      </c>
      <c r="O64" t="s">
        <v>22</v>
      </c>
      <c r="P64">
        <f>Table1[[#This Row],[Quantity]]*Table1[[#This Row],[UnitPrice]]</f>
        <v>2170</v>
      </c>
      <c r="Q64" t="str">
        <f>IF(Table1[[#This Row],[ShippingDays]]&gt;Table1[[#This Row],[ExpectedShippingDays]],"Late","On Time")</f>
        <v>On Time</v>
      </c>
    </row>
    <row r="65" spans="1:17" x14ac:dyDescent="0.35">
      <c r="A65">
        <v>1137</v>
      </c>
      <c r="B65" s="1">
        <v>46110</v>
      </c>
      <c r="C65" t="s">
        <v>42</v>
      </c>
      <c r="D65" t="s">
        <v>43</v>
      </c>
      <c r="E65" t="s">
        <v>38</v>
      </c>
      <c r="F65" t="s">
        <v>79</v>
      </c>
      <c r="G65" t="s">
        <v>80</v>
      </c>
      <c r="H65" t="s">
        <v>77</v>
      </c>
      <c r="I65" t="s">
        <v>81</v>
      </c>
      <c r="J65">
        <v>2</v>
      </c>
      <c r="K65">
        <v>850</v>
      </c>
      <c r="L65">
        <v>3</v>
      </c>
      <c r="M65">
        <v>4</v>
      </c>
      <c r="N65" t="s">
        <v>22</v>
      </c>
      <c r="O65" t="s">
        <v>22</v>
      </c>
      <c r="P65">
        <f>Table1[[#This Row],[Quantity]]*Table1[[#This Row],[UnitPrice]]</f>
        <v>1700</v>
      </c>
      <c r="Q65" t="str">
        <f>IF(Table1[[#This Row],[ShippingDays]]&gt;Table1[[#This Row],[ExpectedShippingDays]],"Late","On Time")</f>
        <v>Late</v>
      </c>
    </row>
    <row r="66" spans="1:17" x14ac:dyDescent="0.35">
      <c r="A66">
        <v>1032</v>
      </c>
      <c r="B66" s="1">
        <v>46113</v>
      </c>
      <c r="C66" t="s">
        <v>29</v>
      </c>
      <c r="D66" t="s">
        <v>30</v>
      </c>
      <c r="E66" t="s">
        <v>17</v>
      </c>
      <c r="F66" t="s">
        <v>56</v>
      </c>
      <c r="G66" t="s">
        <v>57</v>
      </c>
      <c r="H66" t="s">
        <v>46</v>
      </c>
      <c r="I66" t="s">
        <v>47</v>
      </c>
      <c r="J66">
        <v>13</v>
      </c>
      <c r="K66">
        <v>62</v>
      </c>
      <c r="L66">
        <v>2</v>
      </c>
      <c r="M66">
        <v>2</v>
      </c>
      <c r="N66" t="s">
        <v>22</v>
      </c>
      <c r="O66" t="s">
        <v>22</v>
      </c>
      <c r="P66">
        <f>Table1[[#This Row],[Quantity]]*Table1[[#This Row],[UnitPrice]]</f>
        <v>806</v>
      </c>
      <c r="Q66" t="str">
        <f>IF(Table1[[#This Row],[ShippingDays]]&gt;Table1[[#This Row],[ExpectedShippingDays]],"Late","On Time")</f>
        <v>On Time</v>
      </c>
    </row>
    <row r="67" spans="1:17" x14ac:dyDescent="0.35">
      <c r="A67">
        <v>1063</v>
      </c>
      <c r="B67" s="1">
        <v>46113</v>
      </c>
      <c r="C67" t="s">
        <v>54</v>
      </c>
      <c r="D67" t="s">
        <v>55</v>
      </c>
      <c r="E67" t="s">
        <v>38</v>
      </c>
      <c r="F67" t="s">
        <v>60</v>
      </c>
      <c r="G67" t="s">
        <v>61</v>
      </c>
      <c r="H67" t="s">
        <v>62</v>
      </c>
      <c r="I67" t="s">
        <v>63</v>
      </c>
      <c r="J67">
        <v>1</v>
      </c>
      <c r="K67">
        <v>265</v>
      </c>
      <c r="L67">
        <v>2</v>
      </c>
      <c r="M67">
        <v>3</v>
      </c>
      <c r="N67" t="s">
        <v>22</v>
      </c>
      <c r="O67" t="s">
        <v>22</v>
      </c>
      <c r="P67">
        <f>Table1[[#This Row],[Quantity]]*Table1[[#This Row],[UnitPrice]]</f>
        <v>265</v>
      </c>
      <c r="Q67" t="str">
        <f>IF(Table1[[#This Row],[ShippingDays]]&gt;Table1[[#This Row],[ExpectedShippingDays]],"Late","On Time")</f>
        <v>Late</v>
      </c>
    </row>
    <row r="68" spans="1:17" x14ac:dyDescent="0.35">
      <c r="A68">
        <v>1147</v>
      </c>
      <c r="B68" s="1">
        <v>46113</v>
      </c>
      <c r="C68" t="s">
        <v>42</v>
      </c>
      <c r="D68" t="s">
        <v>43</v>
      </c>
      <c r="E68" t="s">
        <v>38</v>
      </c>
      <c r="F68" t="s">
        <v>25</v>
      </c>
      <c r="G68" t="s">
        <v>26</v>
      </c>
      <c r="H68" t="s">
        <v>27</v>
      </c>
      <c r="I68" t="s">
        <v>28</v>
      </c>
      <c r="J68">
        <v>3</v>
      </c>
      <c r="K68">
        <v>390</v>
      </c>
      <c r="L68">
        <v>3</v>
      </c>
      <c r="M68">
        <v>3</v>
      </c>
      <c r="N68" t="s">
        <v>22</v>
      </c>
      <c r="O68" t="s">
        <v>22</v>
      </c>
      <c r="P68">
        <f>Table1[[#This Row],[Quantity]]*Table1[[#This Row],[UnitPrice]]</f>
        <v>1170</v>
      </c>
      <c r="Q68" t="str">
        <f>IF(Table1[[#This Row],[ShippingDays]]&gt;Table1[[#This Row],[ExpectedShippingDays]],"Late","On Time")</f>
        <v>On Time</v>
      </c>
    </row>
    <row r="69" spans="1:17" x14ac:dyDescent="0.35">
      <c r="A69">
        <v>1011</v>
      </c>
      <c r="B69" s="1">
        <v>46116</v>
      </c>
      <c r="C69" t="s">
        <v>54</v>
      </c>
      <c r="D69" t="s">
        <v>55</v>
      </c>
      <c r="E69" t="s">
        <v>38</v>
      </c>
      <c r="F69" t="s">
        <v>75</v>
      </c>
      <c r="G69" t="s">
        <v>76</v>
      </c>
      <c r="H69" t="s">
        <v>77</v>
      </c>
      <c r="I69" t="s">
        <v>78</v>
      </c>
      <c r="J69">
        <v>1</v>
      </c>
      <c r="K69">
        <v>1450</v>
      </c>
      <c r="L69">
        <v>6</v>
      </c>
      <c r="M69">
        <v>5</v>
      </c>
      <c r="N69" t="s">
        <v>22</v>
      </c>
      <c r="O69" t="s">
        <v>22</v>
      </c>
      <c r="P69">
        <f>Table1[[#This Row],[Quantity]]*Table1[[#This Row],[UnitPrice]]</f>
        <v>1450</v>
      </c>
      <c r="Q69" t="str">
        <f>IF(Table1[[#This Row],[ShippingDays]]&gt;Table1[[#This Row],[ExpectedShippingDays]],"Late","On Time")</f>
        <v>On Time</v>
      </c>
    </row>
    <row r="70" spans="1:17" x14ac:dyDescent="0.35">
      <c r="A70">
        <v>1068</v>
      </c>
      <c r="B70" s="1">
        <v>46116</v>
      </c>
      <c r="C70" t="s">
        <v>23</v>
      </c>
      <c r="D70" t="s">
        <v>24</v>
      </c>
      <c r="E70" t="s">
        <v>17</v>
      </c>
      <c r="F70" t="s">
        <v>31</v>
      </c>
      <c r="G70" t="s">
        <v>32</v>
      </c>
      <c r="H70" t="s">
        <v>33</v>
      </c>
      <c r="I70" t="s">
        <v>34</v>
      </c>
      <c r="J70">
        <v>8</v>
      </c>
      <c r="K70">
        <v>285</v>
      </c>
      <c r="L70">
        <v>3</v>
      </c>
      <c r="M70">
        <v>3</v>
      </c>
      <c r="N70" t="s">
        <v>22</v>
      </c>
      <c r="O70" t="s">
        <v>22</v>
      </c>
      <c r="P70">
        <f>Table1[[#This Row],[Quantity]]*Table1[[#This Row],[UnitPrice]]</f>
        <v>2280</v>
      </c>
      <c r="Q70" t="str">
        <f>IF(Table1[[#This Row],[ShippingDays]]&gt;Table1[[#This Row],[ExpectedShippingDays]],"Late","On Time")</f>
        <v>On Time</v>
      </c>
    </row>
    <row r="71" spans="1:17" x14ac:dyDescent="0.35">
      <c r="A71">
        <v>1126</v>
      </c>
      <c r="B71" s="1">
        <v>46116</v>
      </c>
      <c r="C71" t="s">
        <v>82</v>
      </c>
      <c r="D71" t="s">
        <v>83</v>
      </c>
      <c r="E71" t="s">
        <v>72</v>
      </c>
      <c r="F71" t="s">
        <v>84</v>
      </c>
      <c r="G71" t="s">
        <v>85</v>
      </c>
      <c r="H71" t="s">
        <v>77</v>
      </c>
      <c r="I71" t="s">
        <v>78</v>
      </c>
      <c r="J71">
        <v>4</v>
      </c>
      <c r="K71">
        <v>475</v>
      </c>
      <c r="L71">
        <v>4</v>
      </c>
      <c r="M71">
        <v>6</v>
      </c>
      <c r="N71" t="s">
        <v>22</v>
      </c>
      <c r="O71" t="s">
        <v>22</v>
      </c>
      <c r="P71">
        <f>Table1[[#This Row],[Quantity]]*Table1[[#This Row],[UnitPrice]]</f>
        <v>1900</v>
      </c>
      <c r="Q71" t="str">
        <f>IF(Table1[[#This Row],[ShippingDays]]&gt;Table1[[#This Row],[ExpectedShippingDays]],"Late","On Time")</f>
        <v>Late</v>
      </c>
    </row>
    <row r="72" spans="1:17" x14ac:dyDescent="0.35">
      <c r="A72">
        <v>1007</v>
      </c>
      <c r="B72" s="1">
        <v>46117</v>
      </c>
      <c r="C72" t="s">
        <v>39</v>
      </c>
      <c r="D72" t="s">
        <v>40</v>
      </c>
      <c r="E72" t="s">
        <v>41</v>
      </c>
      <c r="F72" t="s">
        <v>44</v>
      </c>
      <c r="G72" t="s">
        <v>45</v>
      </c>
      <c r="H72" t="s">
        <v>46</v>
      </c>
      <c r="I72" t="s">
        <v>47</v>
      </c>
      <c r="J72">
        <v>8</v>
      </c>
      <c r="K72">
        <v>78</v>
      </c>
      <c r="L72">
        <v>2</v>
      </c>
      <c r="M72">
        <v>1</v>
      </c>
      <c r="N72" t="s">
        <v>22</v>
      </c>
      <c r="O72" t="s">
        <v>22</v>
      </c>
      <c r="P72">
        <f>Table1[[#This Row],[Quantity]]*Table1[[#This Row],[UnitPrice]]</f>
        <v>624</v>
      </c>
      <c r="Q72" t="str">
        <f>IF(Table1[[#This Row],[ShippingDays]]&gt;Table1[[#This Row],[ExpectedShippingDays]],"Late","On Time")</f>
        <v>On Time</v>
      </c>
    </row>
    <row r="73" spans="1:17" x14ac:dyDescent="0.35">
      <c r="A73">
        <v>1113</v>
      </c>
      <c r="B73" s="1">
        <v>46117</v>
      </c>
      <c r="C73" t="s">
        <v>82</v>
      </c>
      <c r="D73" t="s">
        <v>83</v>
      </c>
      <c r="E73" t="s">
        <v>72</v>
      </c>
      <c r="F73" t="s">
        <v>64</v>
      </c>
      <c r="G73" t="s">
        <v>65</v>
      </c>
      <c r="H73" t="s">
        <v>20</v>
      </c>
      <c r="I73" t="s">
        <v>21</v>
      </c>
      <c r="J73">
        <v>10</v>
      </c>
      <c r="K73">
        <v>95</v>
      </c>
      <c r="L73">
        <v>3</v>
      </c>
      <c r="M73">
        <v>3</v>
      </c>
      <c r="N73" t="s">
        <v>22</v>
      </c>
      <c r="O73" t="s">
        <v>22</v>
      </c>
      <c r="P73">
        <f>Table1[[#This Row],[Quantity]]*Table1[[#This Row],[UnitPrice]]</f>
        <v>950</v>
      </c>
      <c r="Q73" t="str">
        <f>IF(Table1[[#This Row],[ShippingDays]]&gt;Table1[[#This Row],[ExpectedShippingDays]],"Late","On Time")</f>
        <v>On Time</v>
      </c>
    </row>
    <row r="74" spans="1:17" x14ac:dyDescent="0.35">
      <c r="A74">
        <v>1015</v>
      </c>
      <c r="B74" s="1">
        <v>46119</v>
      </c>
      <c r="C74" t="s">
        <v>39</v>
      </c>
      <c r="D74" t="s">
        <v>40</v>
      </c>
      <c r="E74" t="s">
        <v>41</v>
      </c>
      <c r="F74" t="s">
        <v>50</v>
      </c>
      <c r="G74" t="s">
        <v>51</v>
      </c>
      <c r="H74" t="s">
        <v>33</v>
      </c>
      <c r="I74" t="s">
        <v>34</v>
      </c>
      <c r="J74">
        <v>1</v>
      </c>
      <c r="K74">
        <v>160</v>
      </c>
      <c r="L74">
        <v>2</v>
      </c>
      <c r="M74">
        <v>3</v>
      </c>
      <c r="N74" t="s">
        <v>22</v>
      </c>
      <c r="O74" t="s">
        <v>22</v>
      </c>
      <c r="P74">
        <f>Table1[[#This Row],[Quantity]]*Table1[[#This Row],[UnitPrice]]</f>
        <v>160</v>
      </c>
      <c r="Q74" t="str">
        <f>IF(Table1[[#This Row],[ShippingDays]]&gt;Table1[[#This Row],[ExpectedShippingDays]],"Late","On Time")</f>
        <v>Late</v>
      </c>
    </row>
    <row r="75" spans="1:17" x14ac:dyDescent="0.35">
      <c r="A75">
        <v>1047</v>
      </c>
      <c r="B75" s="1">
        <v>46121</v>
      </c>
      <c r="C75" t="s">
        <v>23</v>
      </c>
      <c r="D75" t="s">
        <v>24</v>
      </c>
      <c r="E75" t="s">
        <v>17</v>
      </c>
      <c r="F75" t="s">
        <v>52</v>
      </c>
      <c r="G75" t="s">
        <v>53</v>
      </c>
      <c r="H75" t="s">
        <v>20</v>
      </c>
      <c r="I75" t="s">
        <v>21</v>
      </c>
      <c r="J75">
        <v>2</v>
      </c>
      <c r="K75">
        <v>540</v>
      </c>
      <c r="L75">
        <v>4</v>
      </c>
      <c r="M75">
        <v>4</v>
      </c>
      <c r="N75" t="s">
        <v>22</v>
      </c>
      <c r="O75" t="s">
        <v>22</v>
      </c>
      <c r="P75">
        <f>Table1[[#This Row],[Quantity]]*Table1[[#This Row],[UnitPrice]]</f>
        <v>1080</v>
      </c>
      <c r="Q75" t="str">
        <f>IF(Table1[[#This Row],[ShippingDays]]&gt;Table1[[#This Row],[ExpectedShippingDays]],"Late","On Time")</f>
        <v>On Time</v>
      </c>
    </row>
    <row r="76" spans="1:17" x14ac:dyDescent="0.35">
      <c r="A76">
        <v>1010</v>
      </c>
      <c r="B76" s="1">
        <v>46125</v>
      </c>
      <c r="C76" t="s">
        <v>23</v>
      </c>
      <c r="D76" t="s">
        <v>24</v>
      </c>
      <c r="E76" t="s">
        <v>17</v>
      </c>
      <c r="F76" t="s">
        <v>64</v>
      </c>
      <c r="G76" t="s">
        <v>65</v>
      </c>
      <c r="H76" t="s">
        <v>20</v>
      </c>
      <c r="I76" t="s">
        <v>21</v>
      </c>
      <c r="J76">
        <v>10</v>
      </c>
      <c r="K76">
        <v>95</v>
      </c>
      <c r="L76">
        <v>3</v>
      </c>
      <c r="M76">
        <v>4</v>
      </c>
      <c r="N76" t="s">
        <v>35</v>
      </c>
      <c r="O76" t="s">
        <v>22</v>
      </c>
      <c r="P76">
        <f>Table1[[#This Row],[Quantity]]*Table1[[#This Row],[UnitPrice]]</f>
        <v>950</v>
      </c>
      <c r="Q76" t="str">
        <f>IF(Table1[[#This Row],[ShippingDays]]&gt;Table1[[#This Row],[ExpectedShippingDays]],"Late","On Time")</f>
        <v>Late</v>
      </c>
    </row>
    <row r="77" spans="1:17" x14ac:dyDescent="0.35">
      <c r="A77">
        <v>1023</v>
      </c>
      <c r="B77" s="1">
        <v>46127</v>
      </c>
      <c r="C77" t="s">
        <v>73</v>
      </c>
      <c r="D77" t="s">
        <v>74</v>
      </c>
      <c r="E77" t="s">
        <v>41</v>
      </c>
      <c r="F77" t="s">
        <v>86</v>
      </c>
      <c r="G77" t="s">
        <v>87</v>
      </c>
      <c r="H77" t="s">
        <v>77</v>
      </c>
      <c r="I77" t="s">
        <v>81</v>
      </c>
      <c r="J77">
        <v>1</v>
      </c>
      <c r="K77">
        <v>1200</v>
      </c>
      <c r="L77">
        <v>5</v>
      </c>
      <c r="M77">
        <v>5</v>
      </c>
      <c r="N77" t="s">
        <v>22</v>
      </c>
      <c r="O77" t="s">
        <v>22</v>
      </c>
      <c r="P77">
        <f>Table1[[#This Row],[Quantity]]*Table1[[#This Row],[UnitPrice]]</f>
        <v>1200</v>
      </c>
      <c r="Q77" t="str">
        <f>IF(Table1[[#This Row],[ShippingDays]]&gt;Table1[[#This Row],[ExpectedShippingDays]],"Late","On Time")</f>
        <v>On Time</v>
      </c>
    </row>
    <row r="78" spans="1:17" x14ac:dyDescent="0.35">
      <c r="A78">
        <v>1060</v>
      </c>
      <c r="B78" s="1">
        <v>46127</v>
      </c>
      <c r="C78" t="s">
        <v>73</v>
      </c>
      <c r="D78" t="s">
        <v>74</v>
      </c>
      <c r="E78" t="s">
        <v>41</v>
      </c>
      <c r="F78" t="s">
        <v>48</v>
      </c>
      <c r="G78" t="s">
        <v>49</v>
      </c>
      <c r="H78" t="s">
        <v>33</v>
      </c>
      <c r="I78" t="s">
        <v>34</v>
      </c>
      <c r="J78">
        <v>16</v>
      </c>
      <c r="K78">
        <v>42.5</v>
      </c>
      <c r="L78">
        <v>2</v>
      </c>
      <c r="M78">
        <v>3</v>
      </c>
      <c r="N78" t="s">
        <v>22</v>
      </c>
      <c r="O78" t="s">
        <v>22</v>
      </c>
      <c r="P78">
        <f>Table1[[#This Row],[Quantity]]*Table1[[#This Row],[UnitPrice]]</f>
        <v>680</v>
      </c>
      <c r="Q78" t="str">
        <f>IF(Table1[[#This Row],[ShippingDays]]&gt;Table1[[#This Row],[ExpectedShippingDays]],"Late","On Time")</f>
        <v>Late</v>
      </c>
    </row>
    <row r="79" spans="1:17" x14ac:dyDescent="0.35">
      <c r="A79">
        <v>1090</v>
      </c>
      <c r="B79" s="1">
        <v>46129</v>
      </c>
      <c r="C79" t="s">
        <v>73</v>
      </c>
      <c r="D79" t="s">
        <v>74</v>
      </c>
      <c r="E79" t="s">
        <v>41</v>
      </c>
      <c r="F79" t="s">
        <v>64</v>
      </c>
      <c r="G79" t="s">
        <v>65</v>
      </c>
      <c r="H79" t="s">
        <v>20</v>
      </c>
      <c r="I79" t="s">
        <v>21</v>
      </c>
      <c r="J79">
        <v>14</v>
      </c>
      <c r="K79">
        <v>95</v>
      </c>
      <c r="L79">
        <v>3</v>
      </c>
      <c r="M79">
        <v>6</v>
      </c>
      <c r="N79" t="s">
        <v>22</v>
      </c>
      <c r="O79" t="s">
        <v>22</v>
      </c>
      <c r="P79">
        <f>Table1[[#This Row],[Quantity]]*Table1[[#This Row],[UnitPrice]]</f>
        <v>1330</v>
      </c>
      <c r="Q79" t="str">
        <f>IF(Table1[[#This Row],[ShippingDays]]&gt;Table1[[#This Row],[ExpectedShippingDays]],"Late","On Time")</f>
        <v>Late</v>
      </c>
    </row>
    <row r="80" spans="1:17" x14ac:dyDescent="0.35">
      <c r="A80">
        <v>1051</v>
      </c>
      <c r="B80" s="1">
        <v>46130</v>
      </c>
      <c r="C80" t="s">
        <v>23</v>
      </c>
      <c r="D80" t="s">
        <v>24</v>
      </c>
      <c r="E80" t="s">
        <v>17</v>
      </c>
      <c r="F80" t="s">
        <v>50</v>
      </c>
      <c r="G80" t="s">
        <v>51</v>
      </c>
      <c r="H80" t="s">
        <v>33</v>
      </c>
      <c r="I80" t="s">
        <v>34</v>
      </c>
      <c r="J80">
        <v>7</v>
      </c>
      <c r="K80">
        <v>160</v>
      </c>
      <c r="L80">
        <v>2</v>
      </c>
      <c r="M80">
        <v>2</v>
      </c>
      <c r="N80" t="s">
        <v>22</v>
      </c>
      <c r="O80" t="s">
        <v>22</v>
      </c>
      <c r="P80">
        <f>Table1[[#This Row],[Quantity]]*Table1[[#This Row],[UnitPrice]]</f>
        <v>1120</v>
      </c>
      <c r="Q80" t="str">
        <f>IF(Table1[[#This Row],[ShippingDays]]&gt;Table1[[#This Row],[ExpectedShippingDays]],"Late","On Time")</f>
        <v>On Time</v>
      </c>
    </row>
    <row r="81" spans="1:17" x14ac:dyDescent="0.35">
      <c r="A81">
        <v>1022</v>
      </c>
      <c r="B81" s="1">
        <v>46134</v>
      </c>
      <c r="C81" t="s">
        <v>42</v>
      </c>
      <c r="D81" t="s">
        <v>43</v>
      </c>
      <c r="E81" t="s">
        <v>38</v>
      </c>
      <c r="F81" t="s">
        <v>44</v>
      </c>
      <c r="G81" t="s">
        <v>45</v>
      </c>
      <c r="H81" t="s">
        <v>46</v>
      </c>
      <c r="I81" t="s">
        <v>47</v>
      </c>
      <c r="J81">
        <v>16</v>
      </c>
      <c r="K81">
        <v>78</v>
      </c>
      <c r="L81">
        <v>2</v>
      </c>
      <c r="M81">
        <v>1</v>
      </c>
      <c r="N81" t="s">
        <v>22</v>
      </c>
      <c r="O81" t="s">
        <v>22</v>
      </c>
      <c r="P81">
        <f>Table1[[#This Row],[Quantity]]*Table1[[#This Row],[UnitPrice]]</f>
        <v>1248</v>
      </c>
      <c r="Q81" t="str">
        <f>IF(Table1[[#This Row],[ShippingDays]]&gt;Table1[[#This Row],[ExpectedShippingDays]],"Late","On Time")</f>
        <v>On Time</v>
      </c>
    </row>
    <row r="82" spans="1:17" x14ac:dyDescent="0.35">
      <c r="A82">
        <v>1105</v>
      </c>
      <c r="B82" s="1">
        <v>46134</v>
      </c>
      <c r="C82" t="s">
        <v>39</v>
      </c>
      <c r="D82" t="s">
        <v>40</v>
      </c>
      <c r="E82" t="s">
        <v>41</v>
      </c>
      <c r="F82" t="s">
        <v>18</v>
      </c>
      <c r="G82" t="s">
        <v>19</v>
      </c>
      <c r="H82" t="s">
        <v>20</v>
      </c>
      <c r="I82" t="s">
        <v>21</v>
      </c>
      <c r="J82">
        <v>7</v>
      </c>
      <c r="K82">
        <v>310</v>
      </c>
      <c r="L82">
        <v>4</v>
      </c>
      <c r="M82">
        <v>5</v>
      </c>
      <c r="N82" t="s">
        <v>22</v>
      </c>
      <c r="O82" t="s">
        <v>22</v>
      </c>
      <c r="P82">
        <f>Table1[[#This Row],[Quantity]]*Table1[[#This Row],[UnitPrice]]</f>
        <v>2170</v>
      </c>
      <c r="Q82" t="str">
        <f>IF(Table1[[#This Row],[ShippingDays]]&gt;Table1[[#This Row],[ExpectedShippingDays]],"Late","On Time")</f>
        <v>Late</v>
      </c>
    </row>
    <row r="83" spans="1:17" x14ac:dyDescent="0.35">
      <c r="A83">
        <v>1081</v>
      </c>
      <c r="B83" s="1">
        <v>46137</v>
      </c>
      <c r="C83" t="s">
        <v>70</v>
      </c>
      <c r="D83" t="s">
        <v>71</v>
      </c>
      <c r="E83" t="s">
        <v>72</v>
      </c>
      <c r="F83" t="s">
        <v>56</v>
      </c>
      <c r="G83" t="s">
        <v>57</v>
      </c>
      <c r="H83" t="s">
        <v>46</v>
      </c>
      <c r="I83" t="s">
        <v>47</v>
      </c>
      <c r="J83">
        <v>15</v>
      </c>
      <c r="K83">
        <v>62</v>
      </c>
      <c r="L83">
        <v>2</v>
      </c>
      <c r="M83">
        <v>4</v>
      </c>
      <c r="N83" t="s">
        <v>22</v>
      </c>
      <c r="O83" t="s">
        <v>22</v>
      </c>
      <c r="P83">
        <f>Table1[[#This Row],[Quantity]]*Table1[[#This Row],[UnitPrice]]</f>
        <v>930</v>
      </c>
      <c r="Q83" t="str">
        <f>IF(Table1[[#This Row],[ShippingDays]]&gt;Table1[[#This Row],[ExpectedShippingDays]],"Late","On Time")</f>
        <v>Late</v>
      </c>
    </row>
    <row r="84" spans="1:17" x14ac:dyDescent="0.35">
      <c r="A84">
        <v>1128</v>
      </c>
      <c r="B84" s="1">
        <v>46137</v>
      </c>
      <c r="C84" t="s">
        <v>29</v>
      </c>
      <c r="D84" t="s">
        <v>30</v>
      </c>
      <c r="E84" t="s">
        <v>17</v>
      </c>
      <c r="F84" t="s">
        <v>31</v>
      </c>
      <c r="G84" t="s">
        <v>32</v>
      </c>
      <c r="H84" t="s">
        <v>33</v>
      </c>
      <c r="I84" t="s">
        <v>34</v>
      </c>
      <c r="J84">
        <v>6</v>
      </c>
      <c r="K84">
        <v>285</v>
      </c>
      <c r="L84">
        <v>3</v>
      </c>
      <c r="M84">
        <v>2</v>
      </c>
      <c r="N84" t="s">
        <v>22</v>
      </c>
      <c r="O84" t="s">
        <v>22</v>
      </c>
      <c r="P84">
        <f>Table1[[#This Row],[Quantity]]*Table1[[#This Row],[UnitPrice]]</f>
        <v>1710</v>
      </c>
      <c r="Q84" t="str">
        <f>IF(Table1[[#This Row],[ShippingDays]]&gt;Table1[[#This Row],[ExpectedShippingDays]],"Late","On Time")</f>
        <v>On Time</v>
      </c>
    </row>
    <row r="85" spans="1:17" x14ac:dyDescent="0.35">
      <c r="A85">
        <v>1108</v>
      </c>
      <c r="B85" s="1">
        <v>46140</v>
      </c>
      <c r="C85" t="s">
        <v>70</v>
      </c>
      <c r="D85" t="s">
        <v>71</v>
      </c>
      <c r="E85" t="s">
        <v>72</v>
      </c>
      <c r="F85" t="s">
        <v>48</v>
      </c>
      <c r="G85" t="s">
        <v>49</v>
      </c>
      <c r="H85" t="s">
        <v>33</v>
      </c>
      <c r="I85" t="s">
        <v>34</v>
      </c>
      <c r="J85">
        <v>14</v>
      </c>
      <c r="K85">
        <v>42.5</v>
      </c>
      <c r="L85">
        <v>2</v>
      </c>
      <c r="M85">
        <v>1</v>
      </c>
      <c r="N85" t="s">
        <v>22</v>
      </c>
      <c r="O85" t="s">
        <v>22</v>
      </c>
      <c r="P85">
        <f>Table1[[#This Row],[Quantity]]*Table1[[#This Row],[UnitPrice]]</f>
        <v>595</v>
      </c>
      <c r="Q85" t="str">
        <f>IF(Table1[[#This Row],[ShippingDays]]&gt;Table1[[#This Row],[ExpectedShippingDays]],"Late","On Time")</f>
        <v>On Time</v>
      </c>
    </row>
    <row r="86" spans="1:17" x14ac:dyDescent="0.35">
      <c r="A86">
        <v>1119</v>
      </c>
      <c r="B86" s="1">
        <v>46140</v>
      </c>
      <c r="C86" t="s">
        <v>42</v>
      </c>
      <c r="D86" t="s">
        <v>43</v>
      </c>
      <c r="E86" t="s">
        <v>38</v>
      </c>
      <c r="F86" t="s">
        <v>60</v>
      </c>
      <c r="G86" t="s">
        <v>61</v>
      </c>
      <c r="H86" t="s">
        <v>62</v>
      </c>
      <c r="I86" t="s">
        <v>63</v>
      </c>
      <c r="J86">
        <v>7</v>
      </c>
      <c r="K86">
        <v>265</v>
      </c>
      <c r="L86">
        <v>2</v>
      </c>
      <c r="M86">
        <v>2</v>
      </c>
      <c r="N86" t="s">
        <v>22</v>
      </c>
      <c r="O86" t="s">
        <v>22</v>
      </c>
      <c r="P86">
        <f>Table1[[#This Row],[Quantity]]*Table1[[#This Row],[UnitPrice]]</f>
        <v>1855</v>
      </c>
      <c r="Q86" t="str">
        <f>IF(Table1[[#This Row],[ShippingDays]]&gt;Table1[[#This Row],[ExpectedShippingDays]],"Late","On Time")</f>
        <v>On Time</v>
      </c>
    </row>
    <row r="87" spans="1:17" x14ac:dyDescent="0.35">
      <c r="A87">
        <v>1131</v>
      </c>
      <c r="B87" s="1">
        <v>46140</v>
      </c>
      <c r="C87" t="s">
        <v>15</v>
      </c>
      <c r="D87" t="s">
        <v>16</v>
      </c>
      <c r="E87" t="s">
        <v>17</v>
      </c>
      <c r="F87" t="s">
        <v>44</v>
      </c>
      <c r="G87" t="s">
        <v>45</v>
      </c>
      <c r="H87" t="s">
        <v>46</v>
      </c>
      <c r="I87" t="s">
        <v>47</v>
      </c>
      <c r="J87">
        <v>5</v>
      </c>
      <c r="K87">
        <v>78</v>
      </c>
      <c r="L87">
        <v>2</v>
      </c>
      <c r="M87">
        <v>2</v>
      </c>
      <c r="N87" t="s">
        <v>22</v>
      </c>
      <c r="O87" t="s">
        <v>22</v>
      </c>
      <c r="P87">
        <f>Table1[[#This Row],[Quantity]]*Table1[[#This Row],[UnitPrice]]</f>
        <v>390</v>
      </c>
      <c r="Q87" t="str">
        <f>IF(Table1[[#This Row],[ShippingDays]]&gt;Table1[[#This Row],[ExpectedShippingDays]],"Late","On Time")</f>
        <v>On Time</v>
      </c>
    </row>
    <row r="88" spans="1:17" x14ac:dyDescent="0.35">
      <c r="A88">
        <v>1005</v>
      </c>
      <c r="B88" s="1">
        <v>46141</v>
      </c>
      <c r="C88" t="s">
        <v>82</v>
      </c>
      <c r="D88" t="s">
        <v>83</v>
      </c>
      <c r="E88" t="s">
        <v>72</v>
      </c>
      <c r="F88" t="s">
        <v>68</v>
      </c>
      <c r="G88" t="s">
        <v>69</v>
      </c>
      <c r="H88" t="s">
        <v>46</v>
      </c>
      <c r="I88" t="s">
        <v>47</v>
      </c>
      <c r="J88">
        <v>14</v>
      </c>
      <c r="K88">
        <v>125</v>
      </c>
      <c r="L88">
        <v>2</v>
      </c>
      <c r="M88">
        <v>2</v>
      </c>
      <c r="N88" t="s">
        <v>35</v>
      </c>
      <c r="O88" t="s">
        <v>22</v>
      </c>
      <c r="P88">
        <f>Table1[[#This Row],[Quantity]]*Table1[[#This Row],[UnitPrice]]</f>
        <v>1750</v>
      </c>
      <c r="Q88" t="str">
        <f>IF(Table1[[#This Row],[ShippingDays]]&gt;Table1[[#This Row],[ExpectedShippingDays]],"Late","On Time")</f>
        <v>On Time</v>
      </c>
    </row>
    <row r="89" spans="1:17" x14ac:dyDescent="0.35">
      <c r="A89">
        <v>1024</v>
      </c>
      <c r="B89" s="1">
        <v>46142</v>
      </c>
      <c r="C89" t="s">
        <v>54</v>
      </c>
      <c r="D89" t="s">
        <v>55</v>
      </c>
      <c r="E89" t="s">
        <v>38</v>
      </c>
      <c r="F89" t="s">
        <v>56</v>
      </c>
      <c r="G89" t="s">
        <v>57</v>
      </c>
      <c r="H89" t="s">
        <v>46</v>
      </c>
      <c r="I89" t="s">
        <v>47</v>
      </c>
      <c r="J89">
        <v>4</v>
      </c>
      <c r="K89">
        <v>62</v>
      </c>
      <c r="L89">
        <v>2</v>
      </c>
      <c r="M89">
        <v>4</v>
      </c>
      <c r="N89" t="s">
        <v>22</v>
      </c>
      <c r="O89" t="s">
        <v>22</v>
      </c>
      <c r="P89">
        <f>Table1[[#This Row],[Quantity]]*Table1[[#This Row],[UnitPrice]]</f>
        <v>248</v>
      </c>
      <c r="Q89" t="str">
        <f>IF(Table1[[#This Row],[ShippingDays]]&gt;Table1[[#This Row],[ExpectedShippingDays]],"Late","On Time")</f>
        <v>Late</v>
      </c>
    </row>
    <row r="90" spans="1:17" x14ac:dyDescent="0.35">
      <c r="A90">
        <v>1053</v>
      </c>
      <c r="B90" s="1">
        <v>46142</v>
      </c>
      <c r="C90" t="s">
        <v>23</v>
      </c>
      <c r="D90" t="s">
        <v>24</v>
      </c>
      <c r="E90" t="s">
        <v>17</v>
      </c>
      <c r="F90" t="s">
        <v>50</v>
      </c>
      <c r="G90" t="s">
        <v>51</v>
      </c>
      <c r="H90" t="s">
        <v>33</v>
      </c>
      <c r="I90" t="s">
        <v>34</v>
      </c>
      <c r="J90">
        <v>6</v>
      </c>
      <c r="K90">
        <v>160</v>
      </c>
      <c r="L90">
        <v>2</v>
      </c>
      <c r="M90">
        <v>2</v>
      </c>
      <c r="N90" t="s">
        <v>22</v>
      </c>
      <c r="O90" t="s">
        <v>22</v>
      </c>
      <c r="P90">
        <f>Table1[[#This Row],[Quantity]]*Table1[[#This Row],[UnitPrice]]</f>
        <v>960</v>
      </c>
      <c r="Q90" t="str">
        <f>IF(Table1[[#This Row],[ShippingDays]]&gt;Table1[[#This Row],[ExpectedShippingDays]],"Late","On Time")</f>
        <v>On Time</v>
      </c>
    </row>
    <row r="91" spans="1:17" x14ac:dyDescent="0.35">
      <c r="A91">
        <v>1107</v>
      </c>
      <c r="B91" s="1">
        <v>46143</v>
      </c>
      <c r="C91" t="s">
        <v>70</v>
      </c>
      <c r="D91" t="s">
        <v>71</v>
      </c>
      <c r="E91" t="s">
        <v>72</v>
      </c>
      <c r="F91" t="s">
        <v>60</v>
      </c>
      <c r="G91" t="s">
        <v>61</v>
      </c>
      <c r="H91" t="s">
        <v>62</v>
      </c>
      <c r="I91" t="s">
        <v>63</v>
      </c>
      <c r="J91">
        <v>3</v>
      </c>
      <c r="K91">
        <v>265</v>
      </c>
      <c r="L91">
        <v>2</v>
      </c>
      <c r="M91">
        <v>3</v>
      </c>
      <c r="N91" t="s">
        <v>35</v>
      </c>
      <c r="O91" t="s">
        <v>22</v>
      </c>
      <c r="P91">
        <f>Table1[[#This Row],[Quantity]]*Table1[[#This Row],[UnitPrice]]</f>
        <v>795</v>
      </c>
      <c r="Q91" t="str">
        <f>IF(Table1[[#This Row],[ShippingDays]]&gt;Table1[[#This Row],[ExpectedShippingDays]],"Late","On Time")</f>
        <v>Late</v>
      </c>
    </row>
    <row r="92" spans="1:17" x14ac:dyDescent="0.35">
      <c r="A92">
        <v>1083</v>
      </c>
      <c r="B92" s="1">
        <v>46144</v>
      </c>
      <c r="C92" t="s">
        <v>70</v>
      </c>
      <c r="D92" t="s">
        <v>71</v>
      </c>
      <c r="E92" t="s">
        <v>72</v>
      </c>
      <c r="F92" t="s">
        <v>79</v>
      </c>
      <c r="G92" t="s">
        <v>80</v>
      </c>
      <c r="H92" t="s">
        <v>77</v>
      </c>
      <c r="I92" t="s">
        <v>81</v>
      </c>
      <c r="J92">
        <v>3</v>
      </c>
      <c r="K92">
        <v>850</v>
      </c>
      <c r="L92">
        <v>3</v>
      </c>
      <c r="M92">
        <v>4</v>
      </c>
      <c r="N92" t="s">
        <v>22</v>
      </c>
      <c r="O92" t="s">
        <v>22</v>
      </c>
      <c r="P92">
        <f>Table1[[#This Row],[Quantity]]*Table1[[#This Row],[UnitPrice]]</f>
        <v>2550</v>
      </c>
      <c r="Q92" t="str">
        <f>IF(Table1[[#This Row],[ShippingDays]]&gt;Table1[[#This Row],[ExpectedShippingDays]],"Late","On Time")</f>
        <v>Late</v>
      </c>
    </row>
    <row r="93" spans="1:17" x14ac:dyDescent="0.35">
      <c r="A93">
        <v>1074</v>
      </c>
      <c r="B93" s="1">
        <v>46145</v>
      </c>
      <c r="C93" t="s">
        <v>82</v>
      </c>
      <c r="D93" t="s">
        <v>83</v>
      </c>
      <c r="E93" t="s">
        <v>72</v>
      </c>
      <c r="F93" t="s">
        <v>50</v>
      </c>
      <c r="G93" t="s">
        <v>51</v>
      </c>
      <c r="H93" t="s">
        <v>33</v>
      </c>
      <c r="I93" t="s">
        <v>34</v>
      </c>
      <c r="J93">
        <v>7</v>
      </c>
      <c r="K93">
        <v>160</v>
      </c>
      <c r="L93">
        <v>2</v>
      </c>
      <c r="M93">
        <v>3</v>
      </c>
      <c r="N93" t="s">
        <v>22</v>
      </c>
      <c r="O93" t="s">
        <v>22</v>
      </c>
      <c r="P93">
        <f>Table1[[#This Row],[Quantity]]*Table1[[#This Row],[UnitPrice]]</f>
        <v>1120</v>
      </c>
      <c r="Q93" t="str">
        <f>IF(Table1[[#This Row],[ShippingDays]]&gt;Table1[[#This Row],[ExpectedShippingDays]],"Late","On Time")</f>
        <v>Late</v>
      </c>
    </row>
    <row r="94" spans="1:17" x14ac:dyDescent="0.35">
      <c r="A94">
        <v>1132</v>
      </c>
      <c r="B94" s="1">
        <v>46145</v>
      </c>
      <c r="C94" t="s">
        <v>29</v>
      </c>
      <c r="D94" t="s">
        <v>30</v>
      </c>
      <c r="E94" t="s">
        <v>17</v>
      </c>
      <c r="F94" t="s">
        <v>68</v>
      </c>
      <c r="G94" t="s">
        <v>69</v>
      </c>
      <c r="H94" t="s">
        <v>46</v>
      </c>
      <c r="I94" t="s">
        <v>47</v>
      </c>
      <c r="J94">
        <v>4</v>
      </c>
      <c r="K94">
        <v>125</v>
      </c>
      <c r="L94">
        <v>2</v>
      </c>
      <c r="M94">
        <v>1</v>
      </c>
      <c r="N94" t="s">
        <v>35</v>
      </c>
      <c r="O94" t="s">
        <v>35</v>
      </c>
      <c r="P94">
        <f>Table1[[#This Row],[Quantity]]*Table1[[#This Row],[UnitPrice]]</f>
        <v>500</v>
      </c>
      <c r="Q94" t="str">
        <f>IF(Table1[[#This Row],[ShippingDays]]&gt;Table1[[#This Row],[ExpectedShippingDays]],"Late","On Time")</f>
        <v>On Time</v>
      </c>
    </row>
    <row r="95" spans="1:17" x14ac:dyDescent="0.35">
      <c r="A95">
        <v>1076</v>
      </c>
      <c r="B95" s="1">
        <v>46147</v>
      </c>
      <c r="C95" t="s">
        <v>70</v>
      </c>
      <c r="D95" t="s">
        <v>71</v>
      </c>
      <c r="E95" t="s">
        <v>72</v>
      </c>
      <c r="F95" t="s">
        <v>25</v>
      </c>
      <c r="G95" t="s">
        <v>26</v>
      </c>
      <c r="H95" t="s">
        <v>27</v>
      </c>
      <c r="I95" t="s">
        <v>28</v>
      </c>
      <c r="J95">
        <v>5</v>
      </c>
      <c r="K95">
        <v>390</v>
      </c>
      <c r="L95">
        <v>3</v>
      </c>
      <c r="M95">
        <v>3</v>
      </c>
      <c r="N95" t="s">
        <v>22</v>
      </c>
      <c r="O95" t="s">
        <v>22</v>
      </c>
      <c r="P95">
        <f>Table1[[#This Row],[Quantity]]*Table1[[#This Row],[UnitPrice]]</f>
        <v>1950</v>
      </c>
      <c r="Q95" t="str">
        <f>IF(Table1[[#This Row],[ShippingDays]]&gt;Table1[[#This Row],[ExpectedShippingDays]],"Late","On Time")</f>
        <v>On Time</v>
      </c>
    </row>
    <row r="96" spans="1:17" x14ac:dyDescent="0.35">
      <c r="A96">
        <v>1055</v>
      </c>
      <c r="B96" s="1">
        <v>46148</v>
      </c>
      <c r="C96" t="s">
        <v>23</v>
      </c>
      <c r="D96" t="s">
        <v>24</v>
      </c>
      <c r="E96" t="s">
        <v>17</v>
      </c>
      <c r="F96" t="s">
        <v>18</v>
      </c>
      <c r="G96" t="s">
        <v>19</v>
      </c>
      <c r="H96" t="s">
        <v>20</v>
      </c>
      <c r="I96" t="s">
        <v>21</v>
      </c>
      <c r="J96">
        <v>8</v>
      </c>
      <c r="K96">
        <v>310</v>
      </c>
      <c r="L96">
        <v>4</v>
      </c>
      <c r="M96">
        <v>4</v>
      </c>
      <c r="N96" t="s">
        <v>35</v>
      </c>
      <c r="O96" t="s">
        <v>22</v>
      </c>
      <c r="P96">
        <f>Table1[[#This Row],[Quantity]]*Table1[[#This Row],[UnitPrice]]</f>
        <v>2480</v>
      </c>
      <c r="Q96" t="str">
        <f>IF(Table1[[#This Row],[ShippingDays]]&gt;Table1[[#This Row],[ExpectedShippingDays]],"Late","On Time")</f>
        <v>On Time</v>
      </c>
    </row>
    <row r="97" spans="1:17" x14ac:dyDescent="0.35">
      <c r="A97">
        <v>1093</v>
      </c>
      <c r="B97" s="1">
        <v>46148</v>
      </c>
      <c r="C97" t="s">
        <v>29</v>
      </c>
      <c r="D97" t="s">
        <v>30</v>
      </c>
      <c r="E97" t="s">
        <v>17</v>
      </c>
      <c r="F97" t="s">
        <v>79</v>
      </c>
      <c r="G97" t="s">
        <v>80</v>
      </c>
      <c r="H97" t="s">
        <v>77</v>
      </c>
      <c r="I97" t="s">
        <v>81</v>
      </c>
      <c r="J97">
        <v>5</v>
      </c>
      <c r="K97">
        <v>850</v>
      </c>
      <c r="L97">
        <v>3</v>
      </c>
      <c r="M97">
        <v>4</v>
      </c>
      <c r="N97" t="s">
        <v>22</v>
      </c>
      <c r="O97" t="s">
        <v>22</v>
      </c>
      <c r="P97">
        <f>Table1[[#This Row],[Quantity]]*Table1[[#This Row],[UnitPrice]]</f>
        <v>4250</v>
      </c>
      <c r="Q97" t="str">
        <f>IF(Table1[[#This Row],[ShippingDays]]&gt;Table1[[#This Row],[ExpectedShippingDays]],"Late","On Time")</f>
        <v>Late</v>
      </c>
    </row>
    <row r="98" spans="1:17" x14ac:dyDescent="0.35">
      <c r="A98">
        <v>1073</v>
      </c>
      <c r="B98" s="1">
        <v>46149</v>
      </c>
      <c r="C98" t="s">
        <v>66</v>
      </c>
      <c r="D98" t="s">
        <v>67</v>
      </c>
      <c r="E98" t="s">
        <v>41</v>
      </c>
      <c r="F98" t="s">
        <v>56</v>
      </c>
      <c r="G98" t="s">
        <v>57</v>
      </c>
      <c r="H98" t="s">
        <v>46</v>
      </c>
      <c r="I98" t="s">
        <v>47</v>
      </c>
      <c r="J98">
        <v>4</v>
      </c>
      <c r="K98">
        <v>62</v>
      </c>
      <c r="L98">
        <v>2</v>
      </c>
      <c r="M98">
        <v>2</v>
      </c>
      <c r="N98" t="s">
        <v>22</v>
      </c>
      <c r="O98" t="s">
        <v>22</v>
      </c>
      <c r="P98">
        <f>Table1[[#This Row],[Quantity]]*Table1[[#This Row],[UnitPrice]]</f>
        <v>248</v>
      </c>
      <c r="Q98" t="str">
        <f>IF(Table1[[#This Row],[ShippingDays]]&gt;Table1[[#This Row],[ExpectedShippingDays]],"Late","On Time")</f>
        <v>On Time</v>
      </c>
    </row>
    <row r="99" spans="1:17" x14ac:dyDescent="0.35">
      <c r="A99">
        <v>1044</v>
      </c>
      <c r="B99" s="1">
        <v>46154</v>
      </c>
      <c r="C99" t="s">
        <v>29</v>
      </c>
      <c r="D99" t="s">
        <v>30</v>
      </c>
      <c r="E99" t="s">
        <v>17</v>
      </c>
      <c r="F99" t="s">
        <v>44</v>
      </c>
      <c r="G99" t="s">
        <v>45</v>
      </c>
      <c r="H99" t="s">
        <v>46</v>
      </c>
      <c r="I99" t="s">
        <v>47</v>
      </c>
      <c r="J99">
        <v>20</v>
      </c>
      <c r="K99">
        <v>78</v>
      </c>
      <c r="L99">
        <v>2</v>
      </c>
      <c r="M99">
        <v>2</v>
      </c>
      <c r="N99" t="s">
        <v>35</v>
      </c>
      <c r="O99" t="s">
        <v>22</v>
      </c>
      <c r="P99">
        <f>Table1[[#This Row],[Quantity]]*Table1[[#This Row],[UnitPrice]]</f>
        <v>1560</v>
      </c>
      <c r="Q99" t="str">
        <f>IF(Table1[[#This Row],[ShippingDays]]&gt;Table1[[#This Row],[ExpectedShippingDays]],"Late","On Time")</f>
        <v>On Time</v>
      </c>
    </row>
    <row r="100" spans="1:17" x14ac:dyDescent="0.35">
      <c r="A100">
        <v>1019</v>
      </c>
      <c r="B100" s="1">
        <v>46156</v>
      </c>
      <c r="C100" t="s">
        <v>66</v>
      </c>
      <c r="D100" t="s">
        <v>67</v>
      </c>
      <c r="E100" t="s">
        <v>41</v>
      </c>
      <c r="F100" t="s">
        <v>68</v>
      </c>
      <c r="G100" t="s">
        <v>69</v>
      </c>
      <c r="H100" t="s">
        <v>46</v>
      </c>
      <c r="I100" t="s">
        <v>47</v>
      </c>
      <c r="J100">
        <v>9</v>
      </c>
      <c r="K100">
        <v>125</v>
      </c>
      <c r="L100">
        <v>2</v>
      </c>
      <c r="M100">
        <v>2</v>
      </c>
      <c r="N100" t="s">
        <v>35</v>
      </c>
      <c r="O100" t="s">
        <v>22</v>
      </c>
      <c r="P100">
        <f>Table1[[#This Row],[Quantity]]*Table1[[#This Row],[UnitPrice]]</f>
        <v>1125</v>
      </c>
      <c r="Q100" t="str">
        <f>IF(Table1[[#This Row],[ShippingDays]]&gt;Table1[[#This Row],[ExpectedShippingDays]],"Late","On Time")</f>
        <v>On Time</v>
      </c>
    </row>
    <row r="101" spans="1:17" x14ac:dyDescent="0.35">
      <c r="A101">
        <v>1127</v>
      </c>
      <c r="B101" s="1">
        <v>46157</v>
      </c>
      <c r="C101" t="s">
        <v>70</v>
      </c>
      <c r="D101" t="s">
        <v>71</v>
      </c>
      <c r="E101" t="s">
        <v>72</v>
      </c>
      <c r="F101" t="s">
        <v>64</v>
      </c>
      <c r="G101" t="s">
        <v>65</v>
      </c>
      <c r="H101" t="s">
        <v>20</v>
      </c>
      <c r="I101" t="s">
        <v>21</v>
      </c>
      <c r="J101">
        <v>2</v>
      </c>
      <c r="K101">
        <v>95</v>
      </c>
      <c r="L101">
        <v>3</v>
      </c>
      <c r="M101">
        <v>3</v>
      </c>
      <c r="N101" t="s">
        <v>35</v>
      </c>
      <c r="O101" t="s">
        <v>22</v>
      </c>
      <c r="P101">
        <f>Table1[[#This Row],[Quantity]]*Table1[[#This Row],[UnitPrice]]</f>
        <v>190</v>
      </c>
      <c r="Q101" t="str">
        <f>IF(Table1[[#This Row],[ShippingDays]]&gt;Table1[[#This Row],[ExpectedShippingDays]],"Late","On Time")</f>
        <v>On Time</v>
      </c>
    </row>
    <row r="102" spans="1:17" x14ac:dyDescent="0.35">
      <c r="A102">
        <v>1028</v>
      </c>
      <c r="B102" s="1">
        <v>46159</v>
      </c>
      <c r="C102" t="s">
        <v>39</v>
      </c>
      <c r="D102" t="s">
        <v>40</v>
      </c>
      <c r="E102" t="s">
        <v>41</v>
      </c>
      <c r="F102" t="s">
        <v>79</v>
      </c>
      <c r="G102" t="s">
        <v>80</v>
      </c>
      <c r="H102" t="s">
        <v>77</v>
      </c>
      <c r="I102" t="s">
        <v>81</v>
      </c>
      <c r="J102">
        <v>5</v>
      </c>
      <c r="K102">
        <v>850</v>
      </c>
      <c r="L102">
        <v>3</v>
      </c>
      <c r="M102">
        <v>5</v>
      </c>
      <c r="N102" t="s">
        <v>35</v>
      </c>
      <c r="O102" t="s">
        <v>22</v>
      </c>
      <c r="P102">
        <f>Table1[[#This Row],[Quantity]]*Table1[[#This Row],[UnitPrice]]</f>
        <v>4250</v>
      </c>
      <c r="Q102" t="str">
        <f>IF(Table1[[#This Row],[ShippingDays]]&gt;Table1[[#This Row],[ExpectedShippingDays]],"Late","On Time")</f>
        <v>Late</v>
      </c>
    </row>
    <row r="103" spans="1:17" x14ac:dyDescent="0.35">
      <c r="A103">
        <v>1017</v>
      </c>
      <c r="B103" s="1">
        <v>46160</v>
      </c>
      <c r="C103" t="s">
        <v>39</v>
      </c>
      <c r="D103" t="s">
        <v>40</v>
      </c>
      <c r="E103" t="s">
        <v>41</v>
      </c>
      <c r="F103" t="s">
        <v>68</v>
      </c>
      <c r="G103" t="s">
        <v>69</v>
      </c>
      <c r="H103" t="s">
        <v>46</v>
      </c>
      <c r="I103" t="s">
        <v>47</v>
      </c>
      <c r="J103">
        <v>17</v>
      </c>
      <c r="K103">
        <v>125</v>
      </c>
      <c r="L103">
        <v>2</v>
      </c>
      <c r="M103">
        <v>3</v>
      </c>
      <c r="N103" t="s">
        <v>22</v>
      </c>
      <c r="O103" t="s">
        <v>22</v>
      </c>
      <c r="P103">
        <f>Table1[[#This Row],[Quantity]]*Table1[[#This Row],[UnitPrice]]</f>
        <v>2125</v>
      </c>
      <c r="Q103" t="str">
        <f>IF(Table1[[#This Row],[ShippingDays]]&gt;Table1[[#This Row],[ExpectedShippingDays]],"Late","On Time")</f>
        <v>Late</v>
      </c>
    </row>
    <row r="104" spans="1:17" x14ac:dyDescent="0.35">
      <c r="A104">
        <v>1077</v>
      </c>
      <c r="B104" s="1">
        <v>46160</v>
      </c>
      <c r="C104" t="s">
        <v>39</v>
      </c>
      <c r="D104" t="s">
        <v>40</v>
      </c>
      <c r="E104" t="s">
        <v>41</v>
      </c>
      <c r="F104" t="s">
        <v>18</v>
      </c>
      <c r="G104" t="s">
        <v>19</v>
      </c>
      <c r="H104" t="s">
        <v>20</v>
      </c>
      <c r="I104" t="s">
        <v>21</v>
      </c>
      <c r="J104">
        <v>1</v>
      </c>
      <c r="K104">
        <v>310</v>
      </c>
      <c r="L104">
        <v>4</v>
      </c>
      <c r="M104">
        <v>4</v>
      </c>
      <c r="N104" t="s">
        <v>22</v>
      </c>
      <c r="O104" t="s">
        <v>22</v>
      </c>
      <c r="P104">
        <f>Table1[[#This Row],[Quantity]]*Table1[[#This Row],[UnitPrice]]</f>
        <v>310</v>
      </c>
      <c r="Q104" t="str">
        <f>IF(Table1[[#This Row],[ShippingDays]]&gt;Table1[[#This Row],[ExpectedShippingDays]],"Late","On Time")</f>
        <v>On Time</v>
      </c>
    </row>
    <row r="105" spans="1:17" x14ac:dyDescent="0.35">
      <c r="A105">
        <v>1102</v>
      </c>
      <c r="B105" s="1">
        <v>46160</v>
      </c>
      <c r="C105" t="s">
        <v>15</v>
      </c>
      <c r="D105" t="s">
        <v>16</v>
      </c>
      <c r="E105" t="s">
        <v>17</v>
      </c>
      <c r="F105" t="s">
        <v>75</v>
      </c>
      <c r="G105" t="s">
        <v>76</v>
      </c>
      <c r="H105" t="s">
        <v>77</v>
      </c>
      <c r="I105" t="s">
        <v>78</v>
      </c>
      <c r="J105">
        <v>3</v>
      </c>
      <c r="K105">
        <v>1450</v>
      </c>
      <c r="L105">
        <v>6</v>
      </c>
      <c r="M105">
        <v>7</v>
      </c>
      <c r="N105" t="s">
        <v>22</v>
      </c>
      <c r="O105" t="s">
        <v>22</v>
      </c>
      <c r="P105">
        <f>Table1[[#This Row],[Quantity]]*Table1[[#This Row],[UnitPrice]]</f>
        <v>4350</v>
      </c>
      <c r="Q105" t="str">
        <f>IF(Table1[[#This Row],[ShippingDays]]&gt;Table1[[#This Row],[ExpectedShippingDays]],"Late","On Time")</f>
        <v>Late</v>
      </c>
    </row>
    <row r="106" spans="1:17" x14ac:dyDescent="0.35">
      <c r="A106">
        <v>1021</v>
      </c>
      <c r="B106" s="1">
        <v>46162</v>
      </c>
      <c r="C106" t="s">
        <v>39</v>
      </c>
      <c r="D106" t="s">
        <v>40</v>
      </c>
      <c r="E106" t="s">
        <v>41</v>
      </c>
      <c r="F106" t="s">
        <v>25</v>
      </c>
      <c r="G106" t="s">
        <v>26</v>
      </c>
      <c r="H106" t="s">
        <v>27</v>
      </c>
      <c r="I106" t="s">
        <v>28</v>
      </c>
      <c r="J106">
        <v>8</v>
      </c>
      <c r="K106">
        <v>390</v>
      </c>
      <c r="L106">
        <v>3</v>
      </c>
      <c r="M106">
        <v>3</v>
      </c>
      <c r="N106" t="s">
        <v>22</v>
      </c>
      <c r="O106" t="s">
        <v>22</v>
      </c>
      <c r="P106">
        <f>Table1[[#This Row],[Quantity]]*Table1[[#This Row],[UnitPrice]]</f>
        <v>3120</v>
      </c>
      <c r="Q106" t="str">
        <f>IF(Table1[[#This Row],[ShippingDays]]&gt;Table1[[#This Row],[ExpectedShippingDays]],"Late","On Time")</f>
        <v>On Time</v>
      </c>
    </row>
    <row r="107" spans="1:17" x14ac:dyDescent="0.35">
      <c r="A107">
        <v>1003</v>
      </c>
      <c r="B107" s="1">
        <v>46163</v>
      </c>
      <c r="C107" t="s">
        <v>15</v>
      </c>
      <c r="D107" t="s">
        <v>16</v>
      </c>
      <c r="E107" t="s">
        <v>17</v>
      </c>
      <c r="F107" t="s">
        <v>48</v>
      </c>
      <c r="G107" t="s">
        <v>49</v>
      </c>
      <c r="H107" t="s">
        <v>33</v>
      </c>
      <c r="I107" t="s">
        <v>34</v>
      </c>
      <c r="J107">
        <v>20</v>
      </c>
      <c r="K107">
        <v>42.5</v>
      </c>
      <c r="L107">
        <v>2</v>
      </c>
      <c r="M107">
        <v>1</v>
      </c>
      <c r="N107" t="s">
        <v>22</v>
      </c>
      <c r="O107" t="s">
        <v>22</v>
      </c>
      <c r="P107">
        <f>Table1[[#This Row],[Quantity]]*Table1[[#This Row],[UnitPrice]]</f>
        <v>850</v>
      </c>
      <c r="Q107" t="str">
        <f>IF(Table1[[#This Row],[ShippingDays]]&gt;Table1[[#This Row],[ExpectedShippingDays]],"Late","On Time")</f>
        <v>On Time</v>
      </c>
    </row>
    <row r="108" spans="1:17" x14ac:dyDescent="0.35">
      <c r="A108">
        <v>1059</v>
      </c>
      <c r="B108" s="1">
        <v>46163</v>
      </c>
      <c r="C108" t="s">
        <v>36</v>
      </c>
      <c r="D108" t="s">
        <v>37</v>
      </c>
      <c r="E108" t="s">
        <v>38</v>
      </c>
      <c r="F108" t="s">
        <v>31</v>
      </c>
      <c r="G108" t="s">
        <v>32</v>
      </c>
      <c r="H108" t="s">
        <v>33</v>
      </c>
      <c r="I108" t="s">
        <v>34</v>
      </c>
      <c r="J108">
        <v>8</v>
      </c>
      <c r="K108">
        <v>285</v>
      </c>
      <c r="L108">
        <v>3</v>
      </c>
      <c r="M108">
        <v>3</v>
      </c>
      <c r="N108" t="s">
        <v>22</v>
      </c>
      <c r="O108" t="s">
        <v>22</v>
      </c>
      <c r="P108">
        <f>Table1[[#This Row],[Quantity]]*Table1[[#This Row],[UnitPrice]]</f>
        <v>2280</v>
      </c>
      <c r="Q108" t="str">
        <f>IF(Table1[[#This Row],[ShippingDays]]&gt;Table1[[#This Row],[ExpectedShippingDays]],"Late","On Time")</f>
        <v>On Time</v>
      </c>
    </row>
    <row r="109" spans="1:17" x14ac:dyDescent="0.35">
      <c r="A109">
        <v>1098</v>
      </c>
      <c r="B109" s="1">
        <v>46163</v>
      </c>
      <c r="C109" t="s">
        <v>15</v>
      </c>
      <c r="D109" t="s">
        <v>16</v>
      </c>
      <c r="E109" t="s">
        <v>17</v>
      </c>
      <c r="F109" t="s">
        <v>64</v>
      </c>
      <c r="G109" t="s">
        <v>65</v>
      </c>
      <c r="H109" t="s">
        <v>20</v>
      </c>
      <c r="I109" t="s">
        <v>21</v>
      </c>
      <c r="J109">
        <v>12</v>
      </c>
      <c r="K109">
        <v>95</v>
      </c>
      <c r="L109">
        <v>3</v>
      </c>
      <c r="M109">
        <v>3</v>
      </c>
      <c r="N109" t="s">
        <v>22</v>
      </c>
      <c r="O109" t="s">
        <v>22</v>
      </c>
      <c r="P109">
        <f>Table1[[#This Row],[Quantity]]*Table1[[#This Row],[UnitPrice]]</f>
        <v>1140</v>
      </c>
      <c r="Q109" t="str">
        <f>IF(Table1[[#This Row],[ShippingDays]]&gt;Table1[[#This Row],[ExpectedShippingDays]],"Late","On Time")</f>
        <v>On Time</v>
      </c>
    </row>
    <row r="110" spans="1:17" x14ac:dyDescent="0.35">
      <c r="A110">
        <v>1054</v>
      </c>
      <c r="B110" s="1">
        <v>46164</v>
      </c>
      <c r="C110" t="s">
        <v>66</v>
      </c>
      <c r="D110" t="s">
        <v>67</v>
      </c>
      <c r="E110" t="s">
        <v>41</v>
      </c>
      <c r="F110" t="s">
        <v>31</v>
      </c>
      <c r="G110" t="s">
        <v>32</v>
      </c>
      <c r="H110" t="s">
        <v>33</v>
      </c>
      <c r="I110" t="s">
        <v>34</v>
      </c>
      <c r="J110">
        <v>8</v>
      </c>
      <c r="K110">
        <v>285</v>
      </c>
      <c r="L110">
        <v>3</v>
      </c>
      <c r="M110">
        <v>3</v>
      </c>
      <c r="N110" t="s">
        <v>22</v>
      </c>
      <c r="O110" t="s">
        <v>22</v>
      </c>
      <c r="P110">
        <f>Table1[[#This Row],[Quantity]]*Table1[[#This Row],[UnitPrice]]</f>
        <v>2280</v>
      </c>
      <c r="Q110" t="str">
        <f>IF(Table1[[#This Row],[ShippingDays]]&gt;Table1[[#This Row],[ExpectedShippingDays]],"Late","On Time")</f>
        <v>On Time</v>
      </c>
    </row>
    <row r="111" spans="1:17" x14ac:dyDescent="0.35">
      <c r="A111">
        <v>1123</v>
      </c>
      <c r="B111" s="1">
        <v>46165</v>
      </c>
      <c r="C111" t="s">
        <v>54</v>
      </c>
      <c r="D111" t="s">
        <v>55</v>
      </c>
      <c r="E111" t="s">
        <v>38</v>
      </c>
      <c r="F111" t="s">
        <v>84</v>
      </c>
      <c r="G111" t="s">
        <v>85</v>
      </c>
      <c r="H111" t="s">
        <v>77</v>
      </c>
      <c r="I111" t="s">
        <v>78</v>
      </c>
      <c r="J111">
        <v>2</v>
      </c>
      <c r="K111">
        <v>475</v>
      </c>
      <c r="L111">
        <v>4</v>
      </c>
      <c r="M111">
        <v>4</v>
      </c>
      <c r="N111" t="s">
        <v>22</v>
      </c>
      <c r="O111" t="s">
        <v>22</v>
      </c>
      <c r="P111">
        <f>Table1[[#This Row],[Quantity]]*Table1[[#This Row],[UnitPrice]]</f>
        <v>950</v>
      </c>
      <c r="Q111" t="str">
        <f>IF(Table1[[#This Row],[ShippingDays]]&gt;Table1[[#This Row],[ExpectedShippingDays]],"Late","On Time")</f>
        <v>On Time</v>
      </c>
    </row>
    <row r="112" spans="1:17" x14ac:dyDescent="0.35">
      <c r="A112">
        <v>1072</v>
      </c>
      <c r="B112" s="1">
        <v>46166</v>
      </c>
      <c r="C112" t="s">
        <v>58</v>
      </c>
      <c r="D112" t="s">
        <v>59</v>
      </c>
      <c r="E112" t="s">
        <v>17</v>
      </c>
      <c r="F112" t="s">
        <v>50</v>
      </c>
      <c r="G112" t="s">
        <v>51</v>
      </c>
      <c r="H112" t="s">
        <v>33</v>
      </c>
      <c r="I112" t="s">
        <v>34</v>
      </c>
      <c r="J112">
        <v>4</v>
      </c>
      <c r="K112">
        <v>160</v>
      </c>
      <c r="L112">
        <v>2</v>
      </c>
      <c r="M112">
        <v>2</v>
      </c>
      <c r="N112" t="s">
        <v>35</v>
      </c>
      <c r="O112" t="s">
        <v>22</v>
      </c>
      <c r="P112">
        <f>Table1[[#This Row],[Quantity]]*Table1[[#This Row],[UnitPrice]]</f>
        <v>640</v>
      </c>
      <c r="Q112" t="str">
        <f>IF(Table1[[#This Row],[ShippingDays]]&gt;Table1[[#This Row],[ExpectedShippingDays]],"Late","On Time")</f>
        <v>On Time</v>
      </c>
    </row>
    <row r="113" spans="1:17" x14ac:dyDescent="0.35">
      <c r="A113">
        <v>1135</v>
      </c>
      <c r="B113" s="1">
        <v>46166</v>
      </c>
      <c r="C113" t="s">
        <v>42</v>
      </c>
      <c r="D113" t="s">
        <v>43</v>
      </c>
      <c r="E113" t="s">
        <v>38</v>
      </c>
      <c r="F113" t="s">
        <v>68</v>
      </c>
      <c r="G113" t="s">
        <v>69</v>
      </c>
      <c r="H113" t="s">
        <v>46</v>
      </c>
      <c r="I113" t="s">
        <v>47</v>
      </c>
      <c r="J113">
        <v>10</v>
      </c>
      <c r="K113">
        <v>125</v>
      </c>
      <c r="L113">
        <v>2</v>
      </c>
      <c r="M113">
        <v>2</v>
      </c>
      <c r="N113" t="s">
        <v>22</v>
      </c>
      <c r="O113" t="s">
        <v>22</v>
      </c>
      <c r="P113">
        <f>Table1[[#This Row],[Quantity]]*Table1[[#This Row],[UnitPrice]]</f>
        <v>1250</v>
      </c>
      <c r="Q113" t="str">
        <f>IF(Table1[[#This Row],[ShippingDays]]&gt;Table1[[#This Row],[ExpectedShippingDays]],"Late","On Time")</f>
        <v>On Time</v>
      </c>
    </row>
    <row r="114" spans="1:17" x14ac:dyDescent="0.35">
      <c r="A114">
        <v>1117</v>
      </c>
      <c r="B114" s="1">
        <v>46167</v>
      </c>
      <c r="C114" t="s">
        <v>42</v>
      </c>
      <c r="D114" t="s">
        <v>43</v>
      </c>
      <c r="E114" t="s">
        <v>38</v>
      </c>
      <c r="F114" t="s">
        <v>31</v>
      </c>
      <c r="G114" t="s">
        <v>32</v>
      </c>
      <c r="H114" t="s">
        <v>33</v>
      </c>
      <c r="I114" t="s">
        <v>34</v>
      </c>
      <c r="J114">
        <v>4</v>
      </c>
      <c r="K114">
        <v>285</v>
      </c>
      <c r="L114">
        <v>3</v>
      </c>
      <c r="M114">
        <v>3</v>
      </c>
      <c r="N114" t="s">
        <v>22</v>
      </c>
      <c r="O114" t="s">
        <v>22</v>
      </c>
      <c r="P114">
        <f>Table1[[#This Row],[Quantity]]*Table1[[#This Row],[UnitPrice]]</f>
        <v>1140</v>
      </c>
      <c r="Q114" t="str">
        <f>IF(Table1[[#This Row],[ShippingDays]]&gt;Table1[[#This Row],[ExpectedShippingDays]],"Late","On Time")</f>
        <v>On Time</v>
      </c>
    </row>
    <row r="115" spans="1:17" x14ac:dyDescent="0.35">
      <c r="A115">
        <v>1133</v>
      </c>
      <c r="B115" s="1">
        <v>46167</v>
      </c>
      <c r="C115" t="s">
        <v>82</v>
      </c>
      <c r="D115" t="s">
        <v>83</v>
      </c>
      <c r="E115" t="s">
        <v>72</v>
      </c>
      <c r="F115" t="s">
        <v>86</v>
      </c>
      <c r="G115" t="s">
        <v>87</v>
      </c>
      <c r="H115" t="s">
        <v>77</v>
      </c>
      <c r="I115" t="s">
        <v>81</v>
      </c>
      <c r="J115">
        <v>1</v>
      </c>
      <c r="K115">
        <v>1200</v>
      </c>
      <c r="L115">
        <v>5</v>
      </c>
      <c r="M115">
        <v>5</v>
      </c>
      <c r="N115" t="s">
        <v>22</v>
      </c>
      <c r="O115" t="s">
        <v>22</v>
      </c>
      <c r="P115">
        <f>Table1[[#This Row],[Quantity]]*Table1[[#This Row],[UnitPrice]]</f>
        <v>1200</v>
      </c>
      <c r="Q115" t="str">
        <f>IF(Table1[[#This Row],[ShippingDays]]&gt;Table1[[#This Row],[ExpectedShippingDays]],"Late","On Time")</f>
        <v>On Time</v>
      </c>
    </row>
    <row r="116" spans="1:17" x14ac:dyDescent="0.35">
      <c r="A116">
        <v>1149</v>
      </c>
      <c r="B116" s="1">
        <v>46168</v>
      </c>
      <c r="C116" t="s">
        <v>23</v>
      </c>
      <c r="D116" t="s">
        <v>24</v>
      </c>
      <c r="E116" t="s">
        <v>17</v>
      </c>
      <c r="F116" t="s">
        <v>84</v>
      </c>
      <c r="G116" t="s">
        <v>85</v>
      </c>
      <c r="H116" t="s">
        <v>77</v>
      </c>
      <c r="I116" t="s">
        <v>78</v>
      </c>
      <c r="J116">
        <v>5</v>
      </c>
      <c r="K116">
        <v>475</v>
      </c>
      <c r="L116">
        <v>4</v>
      </c>
      <c r="M116">
        <v>5</v>
      </c>
      <c r="N116" t="s">
        <v>22</v>
      </c>
      <c r="O116" t="s">
        <v>22</v>
      </c>
      <c r="P116">
        <f>Table1[[#This Row],[Quantity]]*Table1[[#This Row],[UnitPrice]]</f>
        <v>2375</v>
      </c>
      <c r="Q116" t="str">
        <f>IF(Table1[[#This Row],[ShippingDays]]&gt;Table1[[#This Row],[ExpectedShippingDays]],"Late","On Time")</f>
        <v>Late</v>
      </c>
    </row>
    <row r="117" spans="1:17" x14ac:dyDescent="0.35">
      <c r="A117">
        <v>1029</v>
      </c>
      <c r="B117" s="1">
        <v>46169</v>
      </c>
      <c r="C117" t="s">
        <v>54</v>
      </c>
      <c r="D117" t="s">
        <v>55</v>
      </c>
      <c r="E117" t="s">
        <v>38</v>
      </c>
      <c r="F117" t="s">
        <v>50</v>
      </c>
      <c r="G117" t="s">
        <v>51</v>
      </c>
      <c r="H117" t="s">
        <v>33</v>
      </c>
      <c r="I117" t="s">
        <v>34</v>
      </c>
      <c r="J117">
        <v>1</v>
      </c>
      <c r="K117">
        <v>160</v>
      </c>
      <c r="L117">
        <v>2</v>
      </c>
      <c r="M117">
        <v>2</v>
      </c>
      <c r="N117" t="s">
        <v>22</v>
      </c>
      <c r="O117" t="s">
        <v>22</v>
      </c>
      <c r="P117">
        <f>Table1[[#This Row],[Quantity]]*Table1[[#This Row],[UnitPrice]]</f>
        <v>160</v>
      </c>
      <c r="Q117" t="str">
        <f>IF(Table1[[#This Row],[ShippingDays]]&gt;Table1[[#This Row],[ExpectedShippingDays]],"Late","On Time")</f>
        <v>On Time</v>
      </c>
    </row>
    <row r="118" spans="1:17" x14ac:dyDescent="0.35">
      <c r="A118">
        <v>1139</v>
      </c>
      <c r="B118" s="1">
        <v>46169</v>
      </c>
      <c r="C118" t="s">
        <v>36</v>
      </c>
      <c r="D118" t="s">
        <v>37</v>
      </c>
      <c r="E118" t="s">
        <v>38</v>
      </c>
      <c r="F118" t="s">
        <v>68</v>
      </c>
      <c r="G118" t="s">
        <v>69</v>
      </c>
      <c r="H118" t="s">
        <v>46</v>
      </c>
      <c r="I118" t="s">
        <v>47</v>
      </c>
      <c r="J118">
        <v>3</v>
      </c>
      <c r="K118">
        <v>125</v>
      </c>
      <c r="L118">
        <v>2</v>
      </c>
      <c r="M118">
        <v>5</v>
      </c>
      <c r="N118" t="s">
        <v>35</v>
      </c>
      <c r="O118" t="s">
        <v>22</v>
      </c>
      <c r="P118">
        <f>Table1[[#This Row],[Quantity]]*Table1[[#This Row],[UnitPrice]]</f>
        <v>375</v>
      </c>
      <c r="Q118" t="str">
        <f>IF(Table1[[#This Row],[ShippingDays]]&gt;Table1[[#This Row],[ExpectedShippingDays]],"Late","On Time")</f>
        <v>Late</v>
      </c>
    </row>
    <row r="119" spans="1:17" x14ac:dyDescent="0.35">
      <c r="A119">
        <v>1144</v>
      </c>
      <c r="B119" s="1">
        <v>46170</v>
      </c>
      <c r="C119" t="s">
        <v>15</v>
      </c>
      <c r="D119" t="s">
        <v>16</v>
      </c>
      <c r="E119" t="s">
        <v>17</v>
      </c>
      <c r="F119" t="s">
        <v>25</v>
      </c>
      <c r="G119" t="s">
        <v>26</v>
      </c>
      <c r="H119" t="s">
        <v>27</v>
      </c>
      <c r="I119" t="s">
        <v>28</v>
      </c>
      <c r="J119">
        <v>7</v>
      </c>
      <c r="K119">
        <v>390</v>
      </c>
      <c r="L119">
        <v>3</v>
      </c>
      <c r="M119">
        <v>4</v>
      </c>
      <c r="N119" t="s">
        <v>22</v>
      </c>
      <c r="O119" t="s">
        <v>22</v>
      </c>
      <c r="P119">
        <f>Table1[[#This Row],[Quantity]]*Table1[[#This Row],[UnitPrice]]</f>
        <v>2730</v>
      </c>
      <c r="Q119" t="str">
        <f>IF(Table1[[#This Row],[ShippingDays]]&gt;Table1[[#This Row],[ExpectedShippingDays]],"Late","On Time")</f>
        <v>Late</v>
      </c>
    </row>
    <row r="120" spans="1:17" x14ac:dyDescent="0.35">
      <c r="A120">
        <v>1058</v>
      </c>
      <c r="B120" s="1">
        <v>46171</v>
      </c>
      <c r="C120" t="s">
        <v>15</v>
      </c>
      <c r="D120" t="s">
        <v>16</v>
      </c>
      <c r="E120" t="s">
        <v>17</v>
      </c>
      <c r="F120" t="s">
        <v>64</v>
      </c>
      <c r="G120" t="s">
        <v>65</v>
      </c>
      <c r="H120" t="s">
        <v>20</v>
      </c>
      <c r="I120" t="s">
        <v>21</v>
      </c>
      <c r="J120">
        <v>13</v>
      </c>
      <c r="K120">
        <v>95</v>
      </c>
      <c r="L120">
        <v>3</v>
      </c>
      <c r="M120">
        <v>3</v>
      </c>
      <c r="N120" t="s">
        <v>22</v>
      </c>
      <c r="O120" t="s">
        <v>22</v>
      </c>
      <c r="P120">
        <f>Table1[[#This Row],[Quantity]]*Table1[[#This Row],[UnitPrice]]</f>
        <v>1235</v>
      </c>
      <c r="Q120" t="str">
        <f>IF(Table1[[#This Row],[ShippingDays]]&gt;Table1[[#This Row],[ExpectedShippingDays]],"Late","On Time")</f>
        <v>On Time</v>
      </c>
    </row>
    <row r="121" spans="1:17" x14ac:dyDescent="0.35">
      <c r="A121">
        <v>1097</v>
      </c>
      <c r="B121" s="1">
        <v>46174</v>
      </c>
      <c r="C121" t="s">
        <v>36</v>
      </c>
      <c r="D121" t="s">
        <v>37</v>
      </c>
      <c r="E121" t="s">
        <v>38</v>
      </c>
      <c r="F121" t="s">
        <v>75</v>
      </c>
      <c r="G121" t="s">
        <v>76</v>
      </c>
      <c r="H121" t="s">
        <v>77</v>
      </c>
      <c r="I121" t="s">
        <v>78</v>
      </c>
      <c r="J121">
        <v>2</v>
      </c>
      <c r="K121">
        <v>1450</v>
      </c>
      <c r="L121">
        <v>6</v>
      </c>
      <c r="M121">
        <v>6</v>
      </c>
      <c r="N121" t="s">
        <v>22</v>
      </c>
      <c r="O121" t="s">
        <v>22</v>
      </c>
      <c r="P121">
        <f>Table1[[#This Row],[Quantity]]*Table1[[#This Row],[UnitPrice]]</f>
        <v>2900</v>
      </c>
      <c r="Q121" t="str">
        <f>IF(Table1[[#This Row],[ShippingDays]]&gt;Table1[[#This Row],[ExpectedShippingDays]],"Late","On Time")</f>
        <v>On Time</v>
      </c>
    </row>
    <row r="122" spans="1:17" x14ac:dyDescent="0.35">
      <c r="A122">
        <v>1100</v>
      </c>
      <c r="B122" s="1">
        <v>46175</v>
      </c>
      <c r="C122" t="s">
        <v>42</v>
      </c>
      <c r="D122" t="s">
        <v>43</v>
      </c>
      <c r="E122" t="s">
        <v>38</v>
      </c>
      <c r="F122" t="s">
        <v>56</v>
      </c>
      <c r="G122" t="s">
        <v>57</v>
      </c>
      <c r="H122" t="s">
        <v>46</v>
      </c>
      <c r="I122" t="s">
        <v>47</v>
      </c>
      <c r="J122">
        <v>16</v>
      </c>
      <c r="K122">
        <v>62</v>
      </c>
      <c r="L122">
        <v>2</v>
      </c>
      <c r="M122">
        <v>4</v>
      </c>
      <c r="N122" t="s">
        <v>35</v>
      </c>
      <c r="O122" t="s">
        <v>22</v>
      </c>
      <c r="P122">
        <f>Table1[[#This Row],[Quantity]]*Table1[[#This Row],[UnitPrice]]</f>
        <v>992</v>
      </c>
      <c r="Q122" t="str">
        <f>IF(Table1[[#This Row],[ShippingDays]]&gt;Table1[[#This Row],[ExpectedShippingDays]],"Late","On Time")</f>
        <v>Late</v>
      </c>
    </row>
    <row r="123" spans="1:17" x14ac:dyDescent="0.35">
      <c r="A123">
        <v>1141</v>
      </c>
      <c r="B123" s="1">
        <v>46175</v>
      </c>
      <c r="C123" t="s">
        <v>66</v>
      </c>
      <c r="D123" t="s">
        <v>67</v>
      </c>
      <c r="E123" t="s">
        <v>41</v>
      </c>
      <c r="F123" t="s">
        <v>50</v>
      </c>
      <c r="G123" t="s">
        <v>51</v>
      </c>
      <c r="H123" t="s">
        <v>33</v>
      </c>
      <c r="I123" t="s">
        <v>34</v>
      </c>
      <c r="J123">
        <v>5</v>
      </c>
      <c r="K123">
        <v>160</v>
      </c>
      <c r="L123">
        <v>2</v>
      </c>
      <c r="M123">
        <v>3</v>
      </c>
      <c r="N123" t="s">
        <v>35</v>
      </c>
      <c r="O123" t="s">
        <v>22</v>
      </c>
      <c r="P123">
        <f>Table1[[#This Row],[Quantity]]*Table1[[#This Row],[UnitPrice]]</f>
        <v>800</v>
      </c>
      <c r="Q123" t="str">
        <f>IF(Table1[[#This Row],[ShippingDays]]&gt;Table1[[#This Row],[ExpectedShippingDays]],"Late","On Time")</f>
        <v>Late</v>
      </c>
    </row>
    <row r="124" spans="1:17" x14ac:dyDescent="0.35">
      <c r="A124">
        <v>1134</v>
      </c>
      <c r="B124" s="1">
        <v>46177</v>
      </c>
      <c r="C124" t="s">
        <v>70</v>
      </c>
      <c r="D124" t="s">
        <v>71</v>
      </c>
      <c r="E124" t="s">
        <v>72</v>
      </c>
      <c r="F124" t="s">
        <v>86</v>
      </c>
      <c r="G124" t="s">
        <v>87</v>
      </c>
      <c r="H124" t="s">
        <v>77</v>
      </c>
      <c r="I124" t="s">
        <v>81</v>
      </c>
      <c r="J124">
        <v>3</v>
      </c>
      <c r="K124">
        <v>1200</v>
      </c>
      <c r="L124">
        <v>5</v>
      </c>
      <c r="M124">
        <v>5</v>
      </c>
      <c r="N124" t="s">
        <v>22</v>
      </c>
      <c r="O124" t="s">
        <v>22</v>
      </c>
      <c r="P124">
        <f>Table1[[#This Row],[Quantity]]*Table1[[#This Row],[UnitPrice]]</f>
        <v>3600</v>
      </c>
      <c r="Q124" t="str">
        <f>IF(Table1[[#This Row],[ShippingDays]]&gt;Table1[[#This Row],[ExpectedShippingDays]],"Late","On Time")</f>
        <v>On Time</v>
      </c>
    </row>
    <row r="125" spans="1:17" x14ac:dyDescent="0.35">
      <c r="A125">
        <v>1110</v>
      </c>
      <c r="B125" s="1">
        <v>46179</v>
      </c>
      <c r="C125" t="s">
        <v>73</v>
      </c>
      <c r="D125" t="s">
        <v>74</v>
      </c>
      <c r="E125" t="s">
        <v>41</v>
      </c>
      <c r="F125" t="s">
        <v>64</v>
      </c>
      <c r="G125" t="s">
        <v>65</v>
      </c>
      <c r="H125" t="s">
        <v>20</v>
      </c>
      <c r="I125" t="s">
        <v>21</v>
      </c>
      <c r="J125">
        <v>11</v>
      </c>
      <c r="K125">
        <v>95</v>
      </c>
      <c r="L125">
        <v>3</v>
      </c>
      <c r="M125">
        <v>3</v>
      </c>
      <c r="N125" t="s">
        <v>22</v>
      </c>
      <c r="O125" t="s">
        <v>22</v>
      </c>
      <c r="P125">
        <f>Table1[[#This Row],[Quantity]]*Table1[[#This Row],[UnitPrice]]</f>
        <v>1045</v>
      </c>
      <c r="Q125" t="str">
        <f>IF(Table1[[#This Row],[ShippingDays]]&gt;Table1[[#This Row],[ExpectedShippingDays]],"Late","On Time")</f>
        <v>On Time</v>
      </c>
    </row>
    <row r="126" spans="1:17" x14ac:dyDescent="0.35">
      <c r="A126">
        <v>1140</v>
      </c>
      <c r="B126" s="1">
        <v>46179</v>
      </c>
      <c r="C126" t="s">
        <v>66</v>
      </c>
      <c r="D126" t="s">
        <v>67</v>
      </c>
      <c r="E126" t="s">
        <v>41</v>
      </c>
      <c r="F126" t="s">
        <v>44</v>
      </c>
      <c r="G126" t="s">
        <v>45</v>
      </c>
      <c r="H126" t="s">
        <v>46</v>
      </c>
      <c r="I126" t="s">
        <v>47</v>
      </c>
      <c r="J126">
        <v>8</v>
      </c>
      <c r="K126">
        <v>78</v>
      </c>
      <c r="L126">
        <v>2</v>
      </c>
      <c r="M126">
        <v>2</v>
      </c>
      <c r="N126" t="s">
        <v>22</v>
      </c>
      <c r="O126" t="s">
        <v>22</v>
      </c>
      <c r="P126">
        <f>Table1[[#This Row],[Quantity]]*Table1[[#This Row],[UnitPrice]]</f>
        <v>624</v>
      </c>
      <c r="Q126" t="str">
        <f>IF(Table1[[#This Row],[ShippingDays]]&gt;Table1[[#This Row],[ExpectedShippingDays]],"Late","On Time")</f>
        <v>On Time</v>
      </c>
    </row>
    <row r="127" spans="1:17" x14ac:dyDescent="0.35">
      <c r="A127">
        <v>1069</v>
      </c>
      <c r="B127" s="1">
        <v>46181</v>
      </c>
      <c r="C127" t="s">
        <v>82</v>
      </c>
      <c r="D127" t="s">
        <v>83</v>
      </c>
      <c r="E127" t="s">
        <v>72</v>
      </c>
      <c r="F127" t="s">
        <v>52</v>
      </c>
      <c r="G127" t="s">
        <v>53</v>
      </c>
      <c r="H127" t="s">
        <v>20</v>
      </c>
      <c r="I127" t="s">
        <v>21</v>
      </c>
      <c r="J127">
        <v>4</v>
      </c>
      <c r="K127">
        <v>540</v>
      </c>
      <c r="L127">
        <v>4</v>
      </c>
      <c r="M127">
        <v>5</v>
      </c>
      <c r="N127" t="s">
        <v>22</v>
      </c>
      <c r="O127" t="s">
        <v>22</v>
      </c>
      <c r="P127">
        <f>Table1[[#This Row],[Quantity]]*Table1[[#This Row],[UnitPrice]]</f>
        <v>2160</v>
      </c>
      <c r="Q127" t="str">
        <f>IF(Table1[[#This Row],[ShippingDays]]&gt;Table1[[#This Row],[ExpectedShippingDays]],"Late","On Time")</f>
        <v>Late</v>
      </c>
    </row>
    <row r="128" spans="1:17" x14ac:dyDescent="0.35">
      <c r="A128">
        <v>1120</v>
      </c>
      <c r="B128" s="1">
        <v>46181</v>
      </c>
      <c r="C128" t="s">
        <v>15</v>
      </c>
      <c r="D128" t="s">
        <v>16</v>
      </c>
      <c r="E128" t="s">
        <v>17</v>
      </c>
      <c r="F128" t="s">
        <v>31</v>
      </c>
      <c r="G128" t="s">
        <v>32</v>
      </c>
      <c r="H128" t="s">
        <v>33</v>
      </c>
      <c r="I128" t="s">
        <v>34</v>
      </c>
      <c r="J128">
        <v>5</v>
      </c>
      <c r="K128">
        <v>285</v>
      </c>
      <c r="L128">
        <v>3</v>
      </c>
      <c r="M128">
        <v>3</v>
      </c>
      <c r="N128" t="s">
        <v>35</v>
      </c>
      <c r="O128" t="s">
        <v>22</v>
      </c>
      <c r="P128">
        <f>Table1[[#This Row],[Quantity]]*Table1[[#This Row],[UnitPrice]]</f>
        <v>1425</v>
      </c>
      <c r="Q128" t="str">
        <f>IF(Table1[[#This Row],[ShippingDays]]&gt;Table1[[#This Row],[ExpectedShippingDays]],"Late","On Time")</f>
        <v>On Time</v>
      </c>
    </row>
    <row r="129" spans="1:17" x14ac:dyDescent="0.35">
      <c r="A129">
        <v>1136</v>
      </c>
      <c r="B129" s="1">
        <v>46181</v>
      </c>
      <c r="C129" t="s">
        <v>23</v>
      </c>
      <c r="D129" t="s">
        <v>24</v>
      </c>
      <c r="E129" t="s">
        <v>17</v>
      </c>
      <c r="F129" t="s">
        <v>60</v>
      </c>
      <c r="G129" t="s">
        <v>61</v>
      </c>
      <c r="H129" t="s">
        <v>62</v>
      </c>
      <c r="I129" t="s">
        <v>63</v>
      </c>
      <c r="J129">
        <v>1</v>
      </c>
      <c r="K129">
        <v>265</v>
      </c>
      <c r="L129">
        <v>2</v>
      </c>
      <c r="M129">
        <v>3</v>
      </c>
      <c r="N129" t="s">
        <v>22</v>
      </c>
      <c r="O129" t="s">
        <v>22</v>
      </c>
      <c r="P129">
        <f>Table1[[#This Row],[Quantity]]*Table1[[#This Row],[UnitPrice]]</f>
        <v>265</v>
      </c>
      <c r="Q129" t="str">
        <f>IF(Table1[[#This Row],[ShippingDays]]&gt;Table1[[#This Row],[ExpectedShippingDays]],"Late","On Time")</f>
        <v>Late</v>
      </c>
    </row>
    <row r="130" spans="1:17" x14ac:dyDescent="0.35">
      <c r="A130">
        <v>1039</v>
      </c>
      <c r="B130" s="1">
        <v>46182</v>
      </c>
      <c r="C130" t="s">
        <v>73</v>
      </c>
      <c r="D130" t="s">
        <v>74</v>
      </c>
      <c r="E130" t="s">
        <v>41</v>
      </c>
      <c r="F130" t="s">
        <v>68</v>
      </c>
      <c r="G130" t="s">
        <v>69</v>
      </c>
      <c r="H130" t="s">
        <v>46</v>
      </c>
      <c r="I130" t="s">
        <v>47</v>
      </c>
      <c r="J130">
        <v>9</v>
      </c>
      <c r="K130">
        <v>125</v>
      </c>
      <c r="L130">
        <v>2</v>
      </c>
      <c r="M130">
        <v>3</v>
      </c>
      <c r="N130" t="s">
        <v>22</v>
      </c>
      <c r="O130" t="s">
        <v>22</v>
      </c>
      <c r="P130">
        <f>Table1[[#This Row],[Quantity]]*Table1[[#This Row],[UnitPrice]]</f>
        <v>1125</v>
      </c>
      <c r="Q130" t="str">
        <f>IF(Table1[[#This Row],[ShippingDays]]&gt;Table1[[#This Row],[ExpectedShippingDays]],"Late","On Time")</f>
        <v>Late</v>
      </c>
    </row>
    <row r="131" spans="1:17" x14ac:dyDescent="0.35">
      <c r="A131">
        <v>1106</v>
      </c>
      <c r="B131" s="1">
        <v>46182</v>
      </c>
      <c r="C131" t="s">
        <v>23</v>
      </c>
      <c r="D131" t="s">
        <v>24</v>
      </c>
      <c r="E131" t="s">
        <v>17</v>
      </c>
      <c r="F131" t="s">
        <v>18</v>
      </c>
      <c r="G131" t="s">
        <v>19</v>
      </c>
      <c r="H131" t="s">
        <v>20</v>
      </c>
      <c r="I131" t="s">
        <v>21</v>
      </c>
      <c r="J131">
        <v>3</v>
      </c>
      <c r="K131">
        <v>310</v>
      </c>
      <c r="L131">
        <v>4</v>
      </c>
      <c r="M131">
        <v>4</v>
      </c>
      <c r="N131" t="s">
        <v>22</v>
      </c>
      <c r="O131" t="s">
        <v>22</v>
      </c>
      <c r="P131">
        <f>Table1[[#This Row],[Quantity]]*Table1[[#This Row],[UnitPrice]]</f>
        <v>930</v>
      </c>
      <c r="Q131" t="str">
        <f>IF(Table1[[#This Row],[ShippingDays]]&gt;Table1[[#This Row],[ExpectedShippingDays]],"Late","On Time")</f>
        <v>On Time</v>
      </c>
    </row>
    <row r="132" spans="1:17" x14ac:dyDescent="0.35">
      <c r="A132">
        <v>1111</v>
      </c>
      <c r="B132" s="1">
        <v>46182</v>
      </c>
      <c r="C132" t="s">
        <v>70</v>
      </c>
      <c r="D132" t="s">
        <v>71</v>
      </c>
      <c r="E132" t="s">
        <v>72</v>
      </c>
      <c r="F132" t="s">
        <v>60</v>
      </c>
      <c r="G132" t="s">
        <v>61</v>
      </c>
      <c r="H132" t="s">
        <v>62</v>
      </c>
      <c r="I132" t="s">
        <v>63</v>
      </c>
      <c r="J132">
        <v>3</v>
      </c>
      <c r="K132">
        <v>265</v>
      </c>
      <c r="L132">
        <v>2</v>
      </c>
      <c r="M132">
        <v>1</v>
      </c>
      <c r="N132" t="s">
        <v>22</v>
      </c>
      <c r="O132" t="s">
        <v>22</v>
      </c>
      <c r="P132">
        <f>Table1[[#This Row],[Quantity]]*Table1[[#This Row],[UnitPrice]]</f>
        <v>795</v>
      </c>
      <c r="Q132" t="str">
        <f>IF(Table1[[#This Row],[ShippingDays]]&gt;Table1[[#This Row],[ExpectedShippingDays]],"Late","On Time")</f>
        <v>On Time</v>
      </c>
    </row>
    <row r="133" spans="1:17" x14ac:dyDescent="0.35">
      <c r="A133">
        <v>1145</v>
      </c>
      <c r="B133" s="1">
        <v>46182</v>
      </c>
      <c r="C133" t="s">
        <v>66</v>
      </c>
      <c r="D133" t="s">
        <v>67</v>
      </c>
      <c r="E133" t="s">
        <v>41</v>
      </c>
      <c r="F133" t="s">
        <v>56</v>
      </c>
      <c r="G133" t="s">
        <v>57</v>
      </c>
      <c r="H133" t="s">
        <v>46</v>
      </c>
      <c r="I133" t="s">
        <v>47</v>
      </c>
      <c r="J133">
        <v>13</v>
      </c>
      <c r="K133">
        <v>62</v>
      </c>
      <c r="L133">
        <v>2</v>
      </c>
      <c r="M133">
        <v>2</v>
      </c>
      <c r="N133" t="s">
        <v>35</v>
      </c>
      <c r="O133" t="s">
        <v>22</v>
      </c>
      <c r="P133">
        <f>Table1[[#This Row],[Quantity]]*Table1[[#This Row],[UnitPrice]]</f>
        <v>806</v>
      </c>
      <c r="Q133" t="str">
        <f>IF(Table1[[#This Row],[ShippingDays]]&gt;Table1[[#This Row],[ExpectedShippingDays]],"Late","On Time")</f>
        <v>On Time</v>
      </c>
    </row>
    <row r="134" spans="1:17" x14ac:dyDescent="0.35">
      <c r="A134">
        <v>1092</v>
      </c>
      <c r="B134" s="1">
        <v>46183</v>
      </c>
      <c r="C134" t="s">
        <v>66</v>
      </c>
      <c r="D134" t="s">
        <v>67</v>
      </c>
      <c r="E134" t="s">
        <v>41</v>
      </c>
      <c r="F134" t="s">
        <v>84</v>
      </c>
      <c r="G134" t="s">
        <v>85</v>
      </c>
      <c r="H134" t="s">
        <v>77</v>
      </c>
      <c r="I134" t="s">
        <v>78</v>
      </c>
      <c r="J134">
        <v>1</v>
      </c>
      <c r="K134">
        <v>475</v>
      </c>
      <c r="L134">
        <v>4</v>
      </c>
      <c r="M134">
        <v>6</v>
      </c>
      <c r="N134" t="s">
        <v>22</v>
      </c>
      <c r="O134" t="s">
        <v>22</v>
      </c>
      <c r="P134">
        <f>Table1[[#This Row],[Quantity]]*Table1[[#This Row],[UnitPrice]]</f>
        <v>475</v>
      </c>
      <c r="Q134" t="str">
        <f>IF(Table1[[#This Row],[ShippingDays]]&gt;Table1[[#This Row],[ExpectedShippingDays]],"Late","On Time")</f>
        <v>Late</v>
      </c>
    </row>
    <row r="135" spans="1:17" x14ac:dyDescent="0.35">
      <c r="A135">
        <v>1084</v>
      </c>
      <c r="B135" s="1">
        <v>46184</v>
      </c>
      <c r="C135" t="s">
        <v>36</v>
      </c>
      <c r="D135" t="s">
        <v>37</v>
      </c>
      <c r="E135" t="s">
        <v>38</v>
      </c>
      <c r="F135" t="s">
        <v>60</v>
      </c>
      <c r="G135" t="s">
        <v>61</v>
      </c>
      <c r="H135" t="s">
        <v>62</v>
      </c>
      <c r="I135" t="s">
        <v>63</v>
      </c>
      <c r="J135">
        <v>4</v>
      </c>
      <c r="K135">
        <v>265</v>
      </c>
      <c r="L135">
        <v>2</v>
      </c>
      <c r="M135">
        <v>3</v>
      </c>
      <c r="N135" t="s">
        <v>22</v>
      </c>
      <c r="O135" t="s">
        <v>22</v>
      </c>
      <c r="P135">
        <f>Table1[[#This Row],[Quantity]]*Table1[[#This Row],[UnitPrice]]</f>
        <v>1060</v>
      </c>
      <c r="Q135" t="str">
        <f>IF(Table1[[#This Row],[ShippingDays]]&gt;Table1[[#This Row],[ExpectedShippingDays]],"Late","On Time")</f>
        <v>Late</v>
      </c>
    </row>
    <row r="136" spans="1:17" x14ac:dyDescent="0.35">
      <c r="A136">
        <v>1020</v>
      </c>
      <c r="B136" s="1">
        <v>46185</v>
      </c>
      <c r="C136" t="s">
        <v>58</v>
      </c>
      <c r="D136" t="s">
        <v>59</v>
      </c>
      <c r="E136" t="s">
        <v>17</v>
      </c>
      <c r="F136" t="s">
        <v>48</v>
      </c>
      <c r="G136" t="s">
        <v>49</v>
      </c>
      <c r="H136" t="s">
        <v>33</v>
      </c>
      <c r="I136" t="s">
        <v>34</v>
      </c>
      <c r="J136">
        <v>3</v>
      </c>
      <c r="K136">
        <v>42.5</v>
      </c>
      <c r="L136">
        <v>2</v>
      </c>
      <c r="M136">
        <v>1</v>
      </c>
      <c r="N136" t="s">
        <v>22</v>
      </c>
      <c r="O136" t="s">
        <v>22</v>
      </c>
      <c r="P136">
        <f>Table1[[#This Row],[Quantity]]*Table1[[#This Row],[UnitPrice]]</f>
        <v>127.5</v>
      </c>
      <c r="Q136" t="str">
        <f>IF(Table1[[#This Row],[ShippingDays]]&gt;Table1[[#This Row],[ExpectedShippingDays]],"Late","On Time")</f>
        <v>On Time</v>
      </c>
    </row>
    <row r="137" spans="1:17" x14ac:dyDescent="0.35">
      <c r="A137">
        <v>1103</v>
      </c>
      <c r="B137" s="1">
        <v>46185</v>
      </c>
      <c r="C137" t="s">
        <v>23</v>
      </c>
      <c r="D137" t="s">
        <v>24</v>
      </c>
      <c r="E137" t="s">
        <v>17</v>
      </c>
      <c r="F137" t="s">
        <v>31</v>
      </c>
      <c r="G137" t="s">
        <v>32</v>
      </c>
      <c r="H137" t="s">
        <v>33</v>
      </c>
      <c r="I137" t="s">
        <v>34</v>
      </c>
      <c r="J137">
        <v>4</v>
      </c>
      <c r="K137">
        <v>285</v>
      </c>
      <c r="L137">
        <v>3</v>
      </c>
      <c r="M137">
        <v>3</v>
      </c>
      <c r="N137" t="s">
        <v>22</v>
      </c>
      <c r="O137" t="s">
        <v>22</v>
      </c>
      <c r="P137">
        <f>Table1[[#This Row],[Quantity]]*Table1[[#This Row],[UnitPrice]]</f>
        <v>1140</v>
      </c>
      <c r="Q137" t="str">
        <f>IF(Table1[[#This Row],[ShippingDays]]&gt;Table1[[#This Row],[ExpectedShippingDays]],"Late","On Time")</f>
        <v>On Time</v>
      </c>
    </row>
    <row r="138" spans="1:17" x14ac:dyDescent="0.35">
      <c r="A138">
        <v>1089</v>
      </c>
      <c r="B138" s="1">
        <v>46186</v>
      </c>
      <c r="C138" t="s">
        <v>66</v>
      </c>
      <c r="D138" t="s">
        <v>67</v>
      </c>
      <c r="E138" t="s">
        <v>41</v>
      </c>
      <c r="F138" t="s">
        <v>75</v>
      </c>
      <c r="G138" t="s">
        <v>76</v>
      </c>
      <c r="H138" t="s">
        <v>77</v>
      </c>
      <c r="I138" t="s">
        <v>78</v>
      </c>
      <c r="J138">
        <v>2</v>
      </c>
      <c r="K138">
        <v>1450</v>
      </c>
      <c r="L138">
        <v>6</v>
      </c>
      <c r="M138">
        <v>6</v>
      </c>
      <c r="N138" t="s">
        <v>22</v>
      </c>
      <c r="O138" t="s">
        <v>22</v>
      </c>
      <c r="P138">
        <f>Table1[[#This Row],[Quantity]]*Table1[[#This Row],[UnitPrice]]</f>
        <v>2900</v>
      </c>
      <c r="Q138" t="str">
        <f>IF(Table1[[#This Row],[ShippingDays]]&gt;Table1[[#This Row],[ExpectedShippingDays]],"Late","On Time")</f>
        <v>On Time</v>
      </c>
    </row>
    <row r="139" spans="1:17" x14ac:dyDescent="0.35">
      <c r="A139">
        <v>1001</v>
      </c>
      <c r="B139" s="1">
        <v>46187</v>
      </c>
      <c r="C139" t="s">
        <v>29</v>
      </c>
      <c r="D139" t="s">
        <v>30</v>
      </c>
      <c r="E139" t="s">
        <v>17</v>
      </c>
      <c r="F139" t="s">
        <v>79</v>
      </c>
      <c r="G139" t="s">
        <v>80</v>
      </c>
      <c r="H139" t="s">
        <v>77</v>
      </c>
      <c r="I139" t="s">
        <v>81</v>
      </c>
      <c r="J139">
        <v>3</v>
      </c>
      <c r="K139">
        <v>850</v>
      </c>
      <c r="L139">
        <v>3</v>
      </c>
      <c r="M139">
        <v>3</v>
      </c>
      <c r="N139" t="s">
        <v>22</v>
      </c>
      <c r="O139" t="s">
        <v>22</v>
      </c>
      <c r="P139">
        <f>Table1[[#This Row],[Quantity]]*Table1[[#This Row],[UnitPrice]]</f>
        <v>2550</v>
      </c>
      <c r="Q139" t="str">
        <f>IF(Table1[[#This Row],[ShippingDays]]&gt;Table1[[#This Row],[ExpectedShippingDays]],"Late","On Time")</f>
        <v>On Time</v>
      </c>
    </row>
    <row r="140" spans="1:17" x14ac:dyDescent="0.35">
      <c r="A140">
        <v>1033</v>
      </c>
      <c r="B140" s="1">
        <v>46191</v>
      </c>
      <c r="C140" t="s">
        <v>82</v>
      </c>
      <c r="D140" t="s">
        <v>83</v>
      </c>
      <c r="E140" t="s">
        <v>72</v>
      </c>
      <c r="F140" t="s">
        <v>79</v>
      </c>
      <c r="G140" t="s">
        <v>80</v>
      </c>
      <c r="H140" t="s">
        <v>77</v>
      </c>
      <c r="I140" t="s">
        <v>81</v>
      </c>
      <c r="J140">
        <v>5</v>
      </c>
      <c r="K140">
        <v>850</v>
      </c>
      <c r="L140">
        <v>3</v>
      </c>
      <c r="M140">
        <v>2</v>
      </c>
      <c r="N140" t="s">
        <v>22</v>
      </c>
      <c r="O140" t="s">
        <v>22</v>
      </c>
      <c r="P140">
        <f>Table1[[#This Row],[Quantity]]*Table1[[#This Row],[UnitPrice]]</f>
        <v>4250</v>
      </c>
      <c r="Q140" t="str">
        <f>IF(Table1[[#This Row],[ShippingDays]]&gt;Table1[[#This Row],[ExpectedShippingDays]],"Late","On Time")</f>
        <v>On Time</v>
      </c>
    </row>
    <row r="141" spans="1:17" x14ac:dyDescent="0.35">
      <c r="A141">
        <v>1130</v>
      </c>
      <c r="B141" s="1">
        <v>46191</v>
      </c>
      <c r="C141" t="s">
        <v>23</v>
      </c>
      <c r="D141" t="s">
        <v>24</v>
      </c>
      <c r="E141" t="s">
        <v>17</v>
      </c>
      <c r="F141" t="s">
        <v>56</v>
      </c>
      <c r="G141" t="s">
        <v>57</v>
      </c>
      <c r="H141" t="s">
        <v>46</v>
      </c>
      <c r="I141" t="s">
        <v>47</v>
      </c>
      <c r="J141">
        <v>19</v>
      </c>
      <c r="K141">
        <v>62</v>
      </c>
      <c r="L141">
        <v>2</v>
      </c>
      <c r="M141">
        <v>2</v>
      </c>
      <c r="N141" t="s">
        <v>22</v>
      </c>
      <c r="O141" t="s">
        <v>22</v>
      </c>
      <c r="P141">
        <f>Table1[[#This Row],[Quantity]]*Table1[[#This Row],[UnitPrice]]</f>
        <v>1178</v>
      </c>
      <c r="Q141" t="str">
        <f>IF(Table1[[#This Row],[ShippingDays]]&gt;Table1[[#This Row],[ExpectedShippingDays]],"Late","On Time")</f>
        <v>On Time</v>
      </c>
    </row>
    <row r="142" spans="1:17" x14ac:dyDescent="0.35">
      <c r="A142">
        <v>1148</v>
      </c>
      <c r="B142" s="1">
        <v>46191</v>
      </c>
      <c r="C142" t="s">
        <v>29</v>
      </c>
      <c r="D142" t="s">
        <v>30</v>
      </c>
      <c r="E142" t="s">
        <v>17</v>
      </c>
      <c r="F142" t="s">
        <v>48</v>
      </c>
      <c r="G142" t="s">
        <v>49</v>
      </c>
      <c r="H142" t="s">
        <v>33</v>
      </c>
      <c r="I142" t="s">
        <v>34</v>
      </c>
      <c r="J142">
        <v>17</v>
      </c>
      <c r="K142">
        <v>42.5</v>
      </c>
      <c r="L142">
        <v>2</v>
      </c>
      <c r="M142">
        <v>3</v>
      </c>
      <c r="N142" t="s">
        <v>22</v>
      </c>
      <c r="O142" t="s">
        <v>22</v>
      </c>
      <c r="P142">
        <f>Table1[[#This Row],[Quantity]]*Table1[[#This Row],[UnitPrice]]</f>
        <v>722.5</v>
      </c>
      <c r="Q142" t="str">
        <f>IF(Table1[[#This Row],[ShippingDays]]&gt;Table1[[#This Row],[ExpectedShippingDays]],"Late","On Time")</f>
        <v>Late</v>
      </c>
    </row>
    <row r="143" spans="1:17" x14ac:dyDescent="0.35">
      <c r="A143">
        <v>1061</v>
      </c>
      <c r="B143" s="1">
        <v>46193</v>
      </c>
      <c r="C143" t="s">
        <v>58</v>
      </c>
      <c r="D143" t="s">
        <v>59</v>
      </c>
      <c r="E143" t="s">
        <v>17</v>
      </c>
      <c r="F143" t="s">
        <v>68</v>
      </c>
      <c r="G143" t="s">
        <v>69</v>
      </c>
      <c r="H143" t="s">
        <v>46</v>
      </c>
      <c r="I143" t="s">
        <v>47</v>
      </c>
      <c r="J143">
        <v>15</v>
      </c>
      <c r="K143">
        <v>125</v>
      </c>
      <c r="L143">
        <v>2</v>
      </c>
      <c r="M143">
        <v>4</v>
      </c>
      <c r="N143" t="s">
        <v>35</v>
      </c>
      <c r="O143" t="s">
        <v>22</v>
      </c>
      <c r="P143">
        <f>Table1[[#This Row],[Quantity]]*Table1[[#This Row],[UnitPrice]]</f>
        <v>1875</v>
      </c>
      <c r="Q143" t="str">
        <f>IF(Table1[[#This Row],[ShippingDays]]&gt;Table1[[#This Row],[ExpectedShippingDays]],"Late","On Time")</f>
        <v>Late</v>
      </c>
    </row>
    <row r="144" spans="1:17" x14ac:dyDescent="0.35">
      <c r="A144">
        <v>1122</v>
      </c>
      <c r="B144" s="1">
        <v>46193</v>
      </c>
      <c r="C144" t="s">
        <v>54</v>
      </c>
      <c r="D144" t="s">
        <v>55</v>
      </c>
      <c r="E144" t="s">
        <v>38</v>
      </c>
      <c r="F144" t="s">
        <v>60</v>
      </c>
      <c r="G144" t="s">
        <v>61</v>
      </c>
      <c r="H144" t="s">
        <v>62</v>
      </c>
      <c r="I144" t="s">
        <v>63</v>
      </c>
      <c r="J144">
        <v>1</v>
      </c>
      <c r="K144">
        <v>265</v>
      </c>
      <c r="L144">
        <v>2</v>
      </c>
      <c r="M144">
        <v>3</v>
      </c>
      <c r="N144" t="s">
        <v>35</v>
      </c>
      <c r="O144" t="s">
        <v>22</v>
      </c>
      <c r="P144">
        <f>Table1[[#This Row],[Quantity]]*Table1[[#This Row],[UnitPrice]]</f>
        <v>265</v>
      </c>
      <c r="Q144" t="str">
        <f>IF(Table1[[#This Row],[ShippingDays]]&gt;Table1[[#This Row],[ExpectedShippingDays]],"Late","On Time")</f>
        <v>Late</v>
      </c>
    </row>
    <row r="145" spans="1:17" x14ac:dyDescent="0.35">
      <c r="A145">
        <v>1045</v>
      </c>
      <c r="B145" s="1">
        <v>46195</v>
      </c>
      <c r="C145" t="s">
        <v>54</v>
      </c>
      <c r="D145" t="s">
        <v>55</v>
      </c>
      <c r="E145" t="s">
        <v>38</v>
      </c>
      <c r="F145" t="s">
        <v>44</v>
      </c>
      <c r="G145" t="s">
        <v>45</v>
      </c>
      <c r="H145" t="s">
        <v>46</v>
      </c>
      <c r="I145" t="s">
        <v>47</v>
      </c>
      <c r="J145">
        <v>4</v>
      </c>
      <c r="K145">
        <v>78</v>
      </c>
      <c r="L145">
        <v>2</v>
      </c>
      <c r="M145">
        <v>2</v>
      </c>
      <c r="N145" t="s">
        <v>22</v>
      </c>
      <c r="O145" t="s">
        <v>22</v>
      </c>
      <c r="P145">
        <f>Table1[[#This Row],[Quantity]]*Table1[[#This Row],[UnitPrice]]</f>
        <v>312</v>
      </c>
      <c r="Q145" t="str">
        <f>IF(Table1[[#This Row],[ShippingDays]]&gt;Table1[[#This Row],[ExpectedShippingDays]],"Late","On Time")</f>
        <v>On Time</v>
      </c>
    </row>
    <row r="146" spans="1:17" x14ac:dyDescent="0.35">
      <c r="A146">
        <v>1143</v>
      </c>
      <c r="B146" s="1">
        <v>46195</v>
      </c>
      <c r="C146" t="s">
        <v>42</v>
      </c>
      <c r="D146" t="s">
        <v>43</v>
      </c>
      <c r="E146" t="s">
        <v>38</v>
      </c>
      <c r="F146" t="s">
        <v>68</v>
      </c>
      <c r="G146" t="s">
        <v>69</v>
      </c>
      <c r="H146" t="s">
        <v>46</v>
      </c>
      <c r="I146" t="s">
        <v>47</v>
      </c>
      <c r="J146">
        <v>3</v>
      </c>
      <c r="K146">
        <v>125</v>
      </c>
      <c r="L146">
        <v>2</v>
      </c>
      <c r="M146">
        <v>2</v>
      </c>
      <c r="N146" t="s">
        <v>22</v>
      </c>
      <c r="O146" t="s">
        <v>22</v>
      </c>
      <c r="P146">
        <f>Table1[[#This Row],[Quantity]]*Table1[[#This Row],[UnitPrice]]</f>
        <v>375</v>
      </c>
      <c r="Q146" t="str">
        <f>IF(Table1[[#This Row],[ShippingDays]]&gt;Table1[[#This Row],[ExpectedShippingDays]],"Late","On Time")</f>
        <v>On Time</v>
      </c>
    </row>
    <row r="147" spans="1:17" x14ac:dyDescent="0.35">
      <c r="A147">
        <v>1050</v>
      </c>
      <c r="B147" s="1">
        <v>46196</v>
      </c>
      <c r="C147" t="s">
        <v>70</v>
      </c>
      <c r="D147" t="s">
        <v>71</v>
      </c>
      <c r="E147" t="s">
        <v>72</v>
      </c>
      <c r="F147" t="s">
        <v>48</v>
      </c>
      <c r="G147" t="s">
        <v>49</v>
      </c>
      <c r="H147" t="s">
        <v>33</v>
      </c>
      <c r="I147" t="s">
        <v>34</v>
      </c>
      <c r="J147">
        <v>8</v>
      </c>
      <c r="K147">
        <v>42.5</v>
      </c>
      <c r="L147">
        <v>2</v>
      </c>
      <c r="M147">
        <v>1</v>
      </c>
      <c r="N147" t="s">
        <v>35</v>
      </c>
      <c r="O147" t="s">
        <v>22</v>
      </c>
      <c r="P147">
        <f>Table1[[#This Row],[Quantity]]*Table1[[#This Row],[UnitPrice]]</f>
        <v>340</v>
      </c>
      <c r="Q147" t="str">
        <f>IF(Table1[[#This Row],[ShippingDays]]&gt;Table1[[#This Row],[ExpectedShippingDays]],"Late","On Time")</f>
        <v>On Time</v>
      </c>
    </row>
    <row r="148" spans="1:17" x14ac:dyDescent="0.35">
      <c r="A148">
        <v>1115</v>
      </c>
      <c r="B148" s="1">
        <v>46196</v>
      </c>
      <c r="C148" t="s">
        <v>15</v>
      </c>
      <c r="D148" t="s">
        <v>16</v>
      </c>
      <c r="E148" t="s">
        <v>17</v>
      </c>
      <c r="F148" t="s">
        <v>75</v>
      </c>
      <c r="G148" t="s">
        <v>76</v>
      </c>
      <c r="H148" t="s">
        <v>77</v>
      </c>
      <c r="I148" t="s">
        <v>78</v>
      </c>
      <c r="J148">
        <v>3</v>
      </c>
      <c r="K148">
        <v>1450</v>
      </c>
      <c r="L148">
        <v>6</v>
      </c>
      <c r="M148">
        <v>7</v>
      </c>
      <c r="N148" t="s">
        <v>22</v>
      </c>
      <c r="O148" t="s">
        <v>22</v>
      </c>
      <c r="P148">
        <f>Table1[[#This Row],[Quantity]]*Table1[[#This Row],[UnitPrice]]</f>
        <v>4350</v>
      </c>
      <c r="Q148" t="str">
        <f>IF(Table1[[#This Row],[ShippingDays]]&gt;Table1[[#This Row],[ExpectedShippingDays]],"Late","On Time")</f>
        <v>Late</v>
      </c>
    </row>
    <row r="149" spans="1:17" x14ac:dyDescent="0.35">
      <c r="A149">
        <v>1116</v>
      </c>
      <c r="B149" s="1">
        <v>46196</v>
      </c>
      <c r="C149" t="s">
        <v>73</v>
      </c>
      <c r="D149" t="s">
        <v>74</v>
      </c>
      <c r="E149" t="s">
        <v>41</v>
      </c>
      <c r="F149" t="s">
        <v>60</v>
      </c>
      <c r="G149" t="s">
        <v>61</v>
      </c>
      <c r="H149" t="s">
        <v>62</v>
      </c>
      <c r="I149" t="s">
        <v>63</v>
      </c>
      <c r="J149">
        <v>7</v>
      </c>
      <c r="K149">
        <v>265</v>
      </c>
      <c r="L149">
        <v>2</v>
      </c>
      <c r="M149">
        <v>2</v>
      </c>
      <c r="N149" t="s">
        <v>22</v>
      </c>
      <c r="O149" t="s">
        <v>35</v>
      </c>
      <c r="P149">
        <f>Table1[[#This Row],[Quantity]]*Table1[[#This Row],[UnitPrice]]</f>
        <v>1855</v>
      </c>
      <c r="Q149" t="str">
        <f>IF(Table1[[#This Row],[ShippingDays]]&gt;Table1[[#This Row],[ExpectedShippingDays]],"Late","On Time")</f>
        <v>On Time</v>
      </c>
    </row>
    <row r="150" spans="1:17" x14ac:dyDescent="0.35">
      <c r="A150">
        <v>1121</v>
      </c>
      <c r="B150" s="1">
        <v>46199</v>
      </c>
      <c r="C150" t="s">
        <v>42</v>
      </c>
      <c r="D150" t="s">
        <v>43</v>
      </c>
      <c r="E150" t="s">
        <v>38</v>
      </c>
      <c r="F150" t="s">
        <v>50</v>
      </c>
      <c r="G150" t="s">
        <v>51</v>
      </c>
      <c r="H150" t="s">
        <v>33</v>
      </c>
      <c r="I150" t="s">
        <v>34</v>
      </c>
      <c r="J150">
        <v>6</v>
      </c>
      <c r="K150">
        <v>160</v>
      </c>
      <c r="L150">
        <v>2</v>
      </c>
      <c r="M150">
        <v>3</v>
      </c>
      <c r="N150" t="s">
        <v>35</v>
      </c>
      <c r="O150" t="s">
        <v>22</v>
      </c>
      <c r="P150">
        <f>Table1[[#This Row],[Quantity]]*Table1[[#This Row],[UnitPrice]]</f>
        <v>960</v>
      </c>
      <c r="Q150" t="str">
        <f>IF(Table1[[#This Row],[ShippingDays]]&gt;Table1[[#This Row],[ExpectedShippingDays]],"Late","On Time")</f>
        <v>Late</v>
      </c>
    </row>
    <row r="151" spans="1:17" x14ac:dyDescent="0.35">
      <c r="A151">
        <v>1109</v>
      </c>
      <c r="B151" s="1">
        <v>46203</v>
      </c>
      <c r="C151" t="s">
        <v>70</v>
      </c>
      <c r="D151" t="s">
        <v>71</v>
      </c>
      <c r="E151" t="s">
        <v>72</v>
      </c>
      <c r="F151" t="s">
        <v>79</v>
      </c>
      <c r="G151" t="s">
        <v>80</v>
      </c>
      <c r="H151" t="s">
        <v>77</v>
      </c>
      <c r="I151" t="s">
        <v>81</v>
      </c>
      <c r="J151">
        <v>4</v>
      </c>
      <c r="K151">
        <v>850</v>
      </c>
      <c r="L151">
        <v>3</v>
      </c>
      <c r="M151">
        <v>4</v>
      </c>
      <c r="N151" t="s">
        <v>22</v>
      </c>
      <c r="O151" t="s">
        <v>22</v>
      </c>
      <c r="P151">
        <f>Table1[[#This Row],[Quantity]]*Table1[[#This Row],[UnitPrice]]</f>
        <v>3400</v>
      </c>
      <c r="Q151" t="str">
        <f>IF(Table1[[#This Row],[ShippingDays]]&gt;Table1[[#This Row],[ExpectedShippingDays]],"Late","On Time")</f>
        <v>Late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orders_raw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Jeremy Harrison</cp:lastModifiedBy>
  <dcterms:created xsi:type="dcterms:W3CDTF">2026-08-27T22:16:55Z</dcterms:created>
  <dcterms:modified xsi:type="dcterms:W3CDTF">2026-08-27T22:35:09Z</dcterms:modified>
</cp:coreProperties>
</file>